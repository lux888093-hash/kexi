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<sst xmlns="http://schemas.openxmlformats.org/spreadsheetml/2006/main" count="139" uniqueCount="137">
  <si>
    <t>珂溪头疗-华创店 2026年1月成本控制体质检测表（李萌哲、刘娟）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</si>
  <si>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</si>
  <si>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</si>
  <si>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</si>
  <si>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</si>
  <si>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</si>
  <si>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</si>
  <si>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</si>
  <si>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</si>
  <si>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</si>
  <si>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</si>
  <si>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</si>
  <si>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</si>
  <si>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</si>
  <si>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</si>
  <si>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</si>
  <si>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</si>
  <si>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</si>
  <si>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</si>
  <si>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</si>
  <si>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</si>
  <si>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</si>
  <si>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</si>
  <si>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</si>
  <si>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</si>
  <si>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</si>
  <si>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</si>
  <si>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</si>
  <si>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</si>
  <si>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</si>
  <si>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</si>
  <si>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</si>
  <si>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</si>
  <si>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</si>
  <si>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</si>
  <si>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</si>
  <si>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</si>
  <si>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</si>
  <si>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</si>
  <si>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</si>
  <si>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</si>
  <si>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</si>
  <si>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核算总实收*0.06</t>
  </si>
  <si>
    <t>推广费</t>
  </si>
  <si>
    <t xml:space="preserve">门店宿舍
租金：</t>
  </si>
  <si>
    <t>门店</t>
  </si>
  <si>
    <t>7620*0.6+2400</t>
  </si>
  <si>
    <t>宿舍</t>
  </si>
  <si>
    <t>水电：</t>
  </si>
  <si>
    <t>水</t>
  </si>
  <si>
    <t>电</t>
  </si>
  <si>
    <t>水电费</t>
  </si>
  <si>
    <t>生活费：</t>
  </si>
  <si>
    <t>餐费</t>
  </si>
  <si>
    <t>1-15餐、16-31号餐费、-- 2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</si>
  <si>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</si>
  <si>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</si>
  <si>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</si>
  <si>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</si>
  <si>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</si>
  <si>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</si>
  <si>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</si>
  <si>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</si>
  <si>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</si>
  <si>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</si>
  <si>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</si>
  <si>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</si>
  <si>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</si>
  <si>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</si>
  <si>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</si>
  <si>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</si>
  <si>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章鱼刷、经络刷、拨筋棒、牛角梳</t>
  </si>
  <si>
    <t>纸巾、棉签</t>
  </si>
  <si>
    <t>抽纸、棉签</t>
  </si>
  <si>
    <t>清洁产品</t>
  </si>
  <si>
    <t>84消毒液、75酒精</t>
  </si>
  <si>
    <t>清洁道具</t>
  </si>
  <si>
    <t>袋子系列</t>
  </si>
  <si>
    <t>盐包袋、已消毒包装袋、纸质打包袋</t>
  </si>
  <si>
    <t>床单、口罩、手套</t>
  </si>
  <si>
    <t>手套、一次性床单、可洗口罩</t>
  </si>
  <si>
    <t>木炭、固体酒精</t>
  </si>
  <si>
    <t>洗衣液、柔顺剂</t>
  </si>
  <si>
    <t>洗衣液</t>
  </si>
  <si>
    <t>其他消耗品</t>
  </si>
  <si>
    <t>订书针，热敏纸、笔</t>
  </si>
  <si>
    <t>手续费</t>
  </si>
  <si>
    <t>美团手续费</t>
  </si>
  <si>
    <t>美团返佣</t>
  </si>
  <si>
    <t>抖音手续费</t>
  </si>
  <si>
    <t>手续费1276.88达人佣金28.78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</si>
  <si>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</si>
  <si>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</si>
  <si>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</si>
  <si>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</si>
  <si>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</si>
  <si>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</si>
  <si>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</si>
  <si>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1.2.3分摊500个，4元/个</t>
  </si>
  <si>
    <t>增值服务-玩偶</t>
  </si>
  <si>
    <t>1.2.3分摊500个，3.5元/个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</si>
  <si>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</si>
  <si>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</si>
  <si>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</si>
  <si>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</si>
  <si>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</si>
  <si>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</si>
  <si>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</si>
  <si>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红笔、价目表打印、热敏打印纸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</si>
  <si>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</si>
  <si>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</si>
  <si>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</si>
  <si>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</si>
  <si>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</si>
  <si>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</si>
  <si>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</si>
  <si>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2025.08续费</t>
  </si>
  <si>
    <t>经营账费用</t>
  </si>
  <si>
    <t>202508-202607</t>
  </si>
  <si>
    <t>美团年费</t>
  </si>
  <si>
    <t>4800/年（2026.1-2026.12）</t>
  </si>
  <si>
    <t>门头招牌费</t>
  </si>
  <si>
    <t>2006分摊到１.２.３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</si>
  <si>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</si>
  <si>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</si>
  <si>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</si>
  <si>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</si>
  <si>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</si>
  <si>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</si>
  <si>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 xml:space="preserve"> 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</si>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</sst>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769</v>
      </c>
      <c r="C3" s="4" t="s">
        <v>3</v>
      </c>
      <c r="D3" s="8">
        <v>104056.74</v>
      </c>
      <c r="E3" s="4" t="s">
        <v>4</v>
      </c>
      <c r="F3" s="4">
        <v>109322.74</v>
      </c>
      <c r="G3" s="4" t="s">
        <v>5</v>
      </c>
      <c r="H3" s="9">
        <v>8811</v>
      </c>
      <c r="I3" s="10"/>
    </row>
    <row r="4" ht="26" customHeight="1" spans="1:9" s="2" customFormat="1" x14ac:dyDescent="0.25">
      <c r="A4" s="11" t="s">
        <v>6</v>
      </c>
      <c r="B4" s="11">
        <v>117182.74</v>
      </c>
      <c r="C4" s="12" t="s">
        <v>7</v>
      </c>
      <c r="D4" s="13"/>
      <c r="E4" s="13"/>
      <c r="F4" s="14"/>
      <c r="G4" s="15" t="s">
        <v>8</v>
      </c>
      <c r="H4" s="10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62152.26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80.82218465539663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>
        <v>29812</v>
      </c>
      <c r="E8" s="30">
        <f>IF(B5=0,0,D8/B5)</f>
        <v>0</v>
      </c>
      <c r="F8" s="31">
        <f>IF(B3=0,0,D8/B3)</f>
        <v>38.76723016905071</v>
      </c>
      <c r="G8" s="32">
        <f>IF(B3=0,0,SUM(D21:D21)/B3)</f>
        <v>-0.0013003901170351106</v>
      </c>
      <c r="H8" s="33"/>
      <c r="I8" s="4">
        <v>35469</v>
      </c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>
        <v>16</v>
      </c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>
        <v>360</v>
      </c>
    </row>
    <row r="11" ht="20" customHeight="1" spans="1:9" s="2" customFormat="1" x14ac:dyDescent="0.25">
      <c r="A11" s="27"/>
      <c r="B11" s="28"/>
      <c r="C11" s="34" t="s">
        <v>27</v>
      </c>
      <c r="D11" s="4">
        <v>763</v>
      </c>
      <c r="E11" s="36">
        <f>IF(B5=0,0,D11/B5)</f>
        <v>0</v>
      </c>
      <c r="F11" s="37">
        <f>IF(B3=0,0,D11/B3)</f>
        <v>0.9921976592977894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>
        <f>1580+15</f>
        <v>1595</v>
      </c>
      <c r="E12" s="36">
        <f>IF(B5=0,0,D12/B5)</f>
        <v>0</v>
      </c>
      <c r="F12" s="37">
        <f>IF(B3=0,0,D12/B3)</f>
        <v>0</v>
      </c>
      <c r="G12" s="32"/>
      <c r="H12" s="33"/>
      <c r="I12" s="4">
        <v>2232</v>
      </c>
    </row>
    <row r="13" ht="20" customHeight="1" spans="1:9" s="2" customFormat="1" x14ac:dyDescent="0.25">
      <c r="A13" s="27"/>
      <c r="B13" s="28"/>
      <c r="C13" s="34" t="s">
        <v>29</v>
      </c>
      <c r="D13" s="4">
        <v>137</v>
      </c>
      <c r="E13" s="36">
        <f>IF(B5=0,0,D13/B5)</f>
        <v>0</v>
      </c>
      <c r="F13" s="37">
        <f>IF(B3=0,0,D13/B3)</f>
        <v>0.17815344603381014</v>
      </c>
      <c r="G13" s="32"/>
      <c r="H13" s="38"/>
      <c r="I13" s="4">
        <v>23</v>
      </c>
    </row>
    <row r="14" ht="20" customHeight="1" spans="1:9" s="2" customFormat="1" x14ac:dyDescent="0.25">
      <c r="A14" s="27"/>
      <c r="B14" s="28"/>
      <c r="C14" s="34" t="s">
        <v>30</v>
      </c>
      <c r="D14" s="4">
        <v>208</v>
      </c>
      <c r="E14" s="36">
        <f>IF(B5=0,0,D14/B5)</f>
        <v>0</v>
      </c>
      <c r="F14" s="37">
        <f>IF(B3=0,0,D14/B3)</f>
        <v>0.270481144343303</v>
      </c>
      <c r="G14" s="32"/>
      <c r="H14" s="38"/>
      <c r="I14" s="4">
        <v>478</v>
      </c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>
        <v>6100</v>
      </c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>
        <v>760</v>
      </c>
      <c r="E18" s="36">
        <f>IF(B5=0,0,D18/B5)</f>
        <v>0</v>
      </c>
      <c r="F18" s="37">
        <f>IF(B3=0,0,D18/B3)</f>
        <v>0.988296488946684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-0.000009610141543930744</v>
      </c>
      <c r="C21" s="34" t="s">
        <v>39</v>
      </c>
      <c r="D21" s="4">
        <v>-1</v>
      </c>
      <c r="E21" s="36">
        <f>IF(B5=0,0,D21/B5)</f>
        <v>0</v>
      </c>
      <c r="F21" s="37">
        <f>IF(B3=0,0,D21/B3)</f>
        <v>-0.0013003901170351106</v>
      </c>
      <c r="G21" s="31"/>
      <c r="H21" s="45"/>
      <c r="I21" s="4">
        <v>-210</v>
      </c>
    </row>
    <row r="22" ht="20" customHeight="1" spans="1:9" s="2" customFormat="1" x14ac:dyDescent="0.25">
      <c r="A22" s="27" t="s">
        <v>40</v>
      </c>
      <c r="B22" s="46">
        <f>IF(D3=0,0,SUM(D23:D23)/D3)</f>
        <v>0.02883042463179223</v>
      </c>
      <c r="C22" s="47" t="s">
        <v>41</v>
      </c>
      <c r="D22" s="48">
        <f>D3*0.06</f>
        <v>6156.6228</v>
      </c>
      <c r="E22" s="36">
        <f>IF(B5=0,0,D22/B5)</f>
        <v>0</v>
      </c>
      <c r="F22" s="37">
        <f>IF(B3=0,0,D22/B3)</f>
        <v>0</v>
      </c>
      <c r="G22" s="32">
        <f>IF(B3=0,0,SUM(D23:D23)/B3)</f>
        <v>3.9011703511053315</v>
      </c>
      <c r="H22" s="33" t="s">
        <v>42</v>
      </c>
      <c r="I22" s="48">
        <v>7269.147</v>
      </c>
    </row>
    <row r="23" ht="20" customHeight="1" spans="1:9" s="2" customFormat="1" x14ac:dyDescent="0.25">
      <c r="A23" s="27"/>
      <c r="B23" s="46"/>
      <c r="C23" s="47" t="s">
        <v>43</v>
      </c>
      <c r="D23" s="48">
        <v>3000</v>
      </c>
      <c r="E23" s="36">
        <f>IF(B5=0,0,D23/B5)</f>
        <v>0</v>
      </c>
      <c r="F23" s="37">
        <f>IF(B3=0,0,D23/B3)</f>
        <v>3.9011703511053315</v>
      </c>
      <c r="G23" s="32"/>
      <c r="H23" s="45"/>
      <c r="I23" s="48">
        <v>3000</v>
      </c>
    </row>
    <row r="24" ht="20" customHeight="1" spans="1:9" s="2" customFormat="1" x14ac:dyDescent="0.25">
      <c r="A24" s="49" t="s">
        <v>44</v>
      </c>
      <c r="B24" s="50">
        <f>IF(D3=0,0,SUM(D25:D25)/D3)</f>
        <v>0.023064339705433784</v>
      </c>
      <c r="C24" s="34" t="s">
        <v>45</v>
      </c>
      <c r="D24" s="4">
        <v>6972</v>
      </c>
      <c r="E24" s="36">
        <f>IF(B5=0,0,D24/B5)</f>
        <v>0</v>
      </c>
      <c r="F24" s="17">
        <f>IF(B3=0,0,D24/B3)</f>
        <v>9.06631989596879</v>
      </c>
      <c r="G24" s="51">
        <f>IF(B3=0,0,SUM(D25:D25)/B3)</f>
        <v>3.120936280884265</v>
      </c>
      <c r="H24" s="38" t="s">
        <v>46</v>
      </c>
      <c r="I24" s="4">
        <v>10020</v>
      </c>
    </row>
    <row r="25" ht="20" customHeight="1" spans="1:9" s="2" customFormat="1" x14ac:dyDescent="0.25">
      <c r="A25" s="39"/>
      <c r="B25" s="30"/>
      <c r="C25" s="34" t="s">
        <v>47</v>
      </c>
      <c r="D25" s="4">
        <v>2400</v>
      </c>
      <c r="E25" s="36">
        <f>IF(B5=0,0,D25/B5)</f>
        <v>0</v>
      </c>
      <c r="F25" s="17">
        <f>IF(B3=0,0,D25/B3)</f>
        <v>3.120936280884265</v>
      </c>
      <c r="G25" s="31"/>
      <c r="H25" s="38"/>
      <c r="I25" s="4">
        <v>2400</v>
      </c>
    </row>
    <row r="26" ht="20" customHeight="1" spans="1:9" s="2" customFormat="1" x14ac:dyDescent="0.25">
      <c r="A26" s="52" t="s">
        <v>48</v>
      </c>
      <c r="B26" s="50">
        <f>IF(D3=0,0,SUM(D27:D27)/D3)</f>
        <v>0.02883042463179223</v>
      </c>
      <c r="C26" s="34" t="s">
        <v>49</v>
      </c>
      <c r="D26" s="53">
        <v>180</v>
      </c>
      <c r="E26" s="36">
        <f>IF(B5=0,0,D26/B5)</f>
        <v>0</v>
      </c>
      <c r="F26" s="17">
        <f>IF(B3=0,0,D26/B3)</f>
        <v>0.2340702210663199</v>
      </c>
      <c r="G26" s="51">
        <f>IF(B3=0,0,SUM(D27:D27)/B3)</f>
        <v>3.9011703511053315</v>
      </c>
      <c r="H26" s="38"/>
      <c r="I26" s="53">
        <v>318</v>
      </c>
    </row>
    <row r="27" ht="20" customHeight="1" spans="1:9" s="2" customFormat="1" x14ac:dyDescent="0.25">
      <c r="A27" s="39"/>
      <c r="B27" s="30"/>
      <c r="C27" s="34" t="s">
        <v>50</v>
      </c>
      <c r="D27" s="53">
        <v>3000</v>
      </c>
      <c r="E27" s="36">
        <f>IF(B5=0,0,D27/B5)</f>
        <v>0</v>
      </c>
      <c r="F27" s="17">
        <f>IF(B3=0,0,D27/B3)</f>
        <v>3.9011703511053315</v>
      </c>
      <c r="G27" s="31"/>
      <c r="H27" s="38" t="s">
        <v>51</v>
      </c>
      <c r="I27" s="53">
        <v>4088</v>
      </c>
    </row>
    <row r="28" ht="20" customHeight="1" spans="1:9" s="2" customFormat="1" x14ac:dyDescent="0.25">
      <c r="A28" s="52" t="s">
        <v>52</v>
      </c>
      <c r="B28" s="50">
        <f>IF(D3=0,0,SUM(D28:D28)/D3)</f>
        <v>0.039949358398120104</v>
      </c>
      <c r="C28" s="34" t="s">
        <v>53</v>
      </c>
      <c r="D28" s="4">
        <v>4157</v>
      </c>
      <c r="E28" s="36">
        <f>IF(B5=0,0,D28/B5)</f>
        <v>0</v>
      </c>
      <c r="F28" s="17">
        <f>IF(B3=0,0,D28/B3)</f>
        <v>5.405721716514955</v>
      </c>
      <c r="G28" s="51">
        <f>IF(B3=0,0,SUM(D28:D28)/B3)</f>
        <v>5.405721716514955</v>
      </c>
      <c r="H28" s="38" t="s">
        <v>54</v>
      </c>
      <c r="I28" s="4">
        <v>4682.99</v>
      </c>
    </row>
    <row r="29" ht="20" customHeight="1" spans="1:9" s="2" customFormat="1" x14ac:dyDescent="0.25">
      <c r="A29" s="52" t="s">
        <v>55</v>
      </c>
      <c r="B29" s="54">
        <f>IF(D3=0,0,SUM(D31:D31)/D3)</f>
        <v>0.0036464721074290813</v>
      </c>
      <c r="C29" s="47" t="s">
        <v>56</v>
      </c>
      <c r="D29" s="26">
        <v>572</v>
      </c>
      <c r="E29" s="36">
        <f>IF(B5=0,0,D29/B5)</f>
        <v>0</v>
      </c>
      <c r="F29" s="17">
        <f>IF(B3=0,0,D29/B3)</f>
        <v>0.7438231469440832</v>
      </c>
      <c r="G29" s="51">
        <f>IF(B3=0,0,SUM(D31:D31)/B3)</f>
        <v>0.4934200260078023</v>
      </c>
      <c r="H29" s="55" t="s">
        <v>56</v>
      </c>
      <c r="I29" s="4">
        <v>546</v>
      </c>
    </row>
    <row r="30" ht="20" customHeight="1" spans="1:9" s="2" customFormat="1" x14ac:dyDescent="0.25">
      <c r="A30" s="27"/>
      <c r="B30" s="56"/>
      <c r="C30" s="47" t="s">
        <v>57</v>
      </c>
      <c r="D30" s="4">
        <v>1013.38</v>
      </c>
      <c r="E30" s="36">
        <f>IF(B5=0,0,D30/B5)</f>
        <v>0</v>
      </c>
      <c r="F30" s="17">
        <f>IF(B3=0,0,D30/B3)</f>
        <v>1.3177893368010403</v>
      </c>
      <c r="G30" s="32"/>
      <c r="H30" s="38" t="s">
        <v>58</v>
      </c>
      <c r="I30" s="4">
        <v>989</v>
      </c>
    </row>
    <row r="31" ht="20" customHeight="1" spans="1:9" s="2" customFormat="1" x14ac:dyDescent="0.25">
      <c r="A31" s="39"/>
      <c r="B31" s="30"/>
      <c r="C31" s="47" t="s">
        <v>59</v>
      </c>
      <c r="D31" s="4">
        <v>379.44</v>
      </c>
      <c r="E31" s="36">
        <f>IF(B5=0,0,D31/B5)</f>
        <v>0</v>
      </c>
      <c r="F31" s="17">
        <f>IF(B3=0,0,D31/B3)</f>
        <v>0.4934200260078023</v>
      </c>
      <c r="G31" s="31"/>
      <c r="H31" s="38" t="s">
        <v>60</v>
      </c>
      <c r="I31" s="4">
        <v>472</v>
      </c>
    </row>
    <row r="32" ht="20" customHeight="1" spans="1:9" s="2" customFormat="1" x14ac:dyDescent="0.25">
      <c r="A32" s="52" t="s">
        <v>61</v>
      </c>
      <c r="B32" s="54">
        <f>IF(D3=0,0,SUM(D44:D44)/D3)</f>
        <v>0.00008072518896901825</v>
      </c>
      <c r="C32" s="4" t="s">
        <v>62</v>
      </c>
      <c r="D32" s="4">
        <v>1410</v>
      </c>
      <c r="E32" s="36">
        <f>IF(B5=0,0,D32/B5)</f>
        <v>0</v>
      </c>
      <c r="F32" s="17">
        <f>IF(B3=0,0,D32/B3)</f>
        <v>1.8335500650195058</v>
      </c>
      <c r="G32" s="51">
        <f>IF(B3=0,0,SUM(D44:D44)/B3)</f>
        <v>0.01092327698309493</v>
      </c>
      <c r="H32" s="57" t="s">
        <v>63</v>
      </c>
      <c r="I32" s="4">
        <v>1000</v>
      </c>
    </row>
    <row r="33" ht="20" customHeight="1" spans="1:9" s="2" customFormat="1" x14ac:dyDescent="0.25">
      <c r="A33" s="27"/>
      <c r="B33" s="56"/>
      <c r="C33" s="4" t="s">
        <v>64</v>
      </c>
      <c r="D33" s="4">
        <v>680</v>
      </c>
      <c r="E33" s="36">
        <f>IF(B5=0,0,D33/B5)</f>
        <v>0</v>
      </c>
      <c r="F33" s="17">
        <f>IF(B3=0,0,D33/B3)</f>
        <v>0.8842652795838751</v>
      </c>
      <c r="G33" s="32"/>
      <c r="H33" s="57" t="s">
        <v>65</v>
      </c>
      <c r="I33" s="4">
        <v>860</v>
      </c>
    </row>
    <row r="34" ht="24" customHeight="1" spans="1:9" s="2" customFormat="1" x14ac:dyDescent="0.25">
      <c r="A34" s="27"/>
      <c r="B34" s="56"/>
      <c r="C34" s="47" t="s">
        <v>66</v>
      </c>
      <c r="D34" s="4">
        <v>363</v>
      </c>
      <c r="E34" s="36">
        <f>IF(B5=0,0,D34/B5)</f>
        <v>0</v>
      </c>
      <c r="F34" s="17">
        <f>IF(B3=0,0,D34/B3)</f>
        <v>0.4720416124837451</v>
      </c>
      <c r="G34" s="32"/>
      <c r="H34" s="33" t="s">
        <v>67</v>
      </c>
      <c r="I34" s="4">
        <v>348</v>
      </c>
    </row>
    <row r="35" ht="41" customHeight="1" spans="1:9" s="2" customFormat="1" x14ac:dyDescent="0.25">
      <c r="A35" s="27"/>
      <c r="B35" s="56"/>
      <c r="C35" s="47" t="s">
        <v>68</v>
      </c>
      <c r="D35" s="4">
        <v>1049.92</v>
      </c>
      <c r="E35" s="36">
        <f>IF(B5=0,0,D35/B5)</f>
        <v>0</v>
      </c>
      <c r="F35" s="17">
        <f>IF(B3=0,0,D35/B3)</f>
        <v>1.3653055916775034</v>
      </c>
      <c r="G35" s="32"/>
      <c r="H35" s="33" t="s">
        <v>69</v>
      </c>
      <c r="I35" s="4">
        <v>1202.98</v>
      </c>
    </row>
    <row r="36" ht="20" customHeight="1" spans="1:9" s="2" customFormat="1" x14ac:dyDescent="0.25">
      <c r="A36" s="27"/>
      <c r="B36" s="56"/>
      <c r="C36" s="4" t="s">
        <v>70</v>
      </c>
      <c r="D36" s="4"/>
      <c r="E36" s="36">
        <f>IF(B5=0,0,D36/B5)</f>
        <v>0</v>
      </c>
      <c r="F36" s="17">
        <f>IF(B3=0,0,D36/B3)</f>
        <v>0</v>
      </c>
      <c r="G36" s="32"/>
      <c r="H36" s="33" t="s">
        <v>71</v>
      </c>
      <c r="I36" s="4">
        <v>18.5</v>
      </c>
    </row>
    <row r="37" ht="20" customHeight="1" spans="1:9" s="2" customFormat="1" x14ac:dyDescent="0.25">
      <c r="A37" s="27"/>
      <c r="B37" s="56"/>
      <c r="C37" s="47" t="s">
        <v>72</v>
      </c>
      <c r="D37" s="4">
        <v>73.4</v>
      </c>
      <c r="E37" s="36">
        <f>IF(B5=0,0,D37/B5)</f>
        <v>0</v>
      </c>
      <c r="F37" s="37">
        <f>IF(B3=0,0,D37/B3)</f>
        <v>0.09544863459037713</v>
      </c>
      <c r="G37" s="32"/>
      <c r="H37" s="57" t="s">
        <v>73</v>
      </c>
      <c r="I37" s="4">
        <v>82.8</v>
      </c>
    </row>
    <row r="38" ht="20" customHeight="1" spans="1:9" s="2" customFormat="1" x14ac:dyDescent="0.25">
      <c r="A38" s="27"/>
      <c r="B38" s="56"/>
      <c r="C38" s="47" t="s">
        <v>74</v>
      </c>
      <c r="D38" s="4">
        <v>28.25</v>
      </c>
      <c r="E38" s="36">
        <f>IF(B5=0,0,D38/B5)</f>
        <v>0</v>
      </c>
      <c r="F38" s="37">
        <f>IF(B3=0,0,D38/B3)</f>
        <v>0.03673602080624187</v>
      </c>
      <c r="G38" s="32"/>
      <c r="H38" s="33" t="s">
        <v>75</v>
      </c>
      <c r="I38" s="4">
        <v>8</v>
      </c>
    </row>
    <row r="39" ht="20" customHeight="1" spans="1:9" s="2" customFormat="1" x14ac:dyDescent="0.25">
      <c r="A39" s="27"/>
      <c r="B39" s="56"/>
      <c r="C39" s="47" t="s">
        <v>76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77</v>
      </c>
      <c r="D40" s="4">
        <v>184.07</v>
      </c>
      <c r="E40" s="36">
        <f>IF(B5=0,0,D40/B5)</f>
        <v>0</v>
      </c>
      <c r="F40" s="37">
        <f>IF(B3=0,0,D40/B3)</f>
        <v>0.2393628088426528</v>
      </c>
      <c r="G40" s="32"/>
      <c r="H40" s="33" t="s">
        <v>78</v>
      </c>
      <c r="I40" s="4">
        <v>158.5</v>
      </c>
    </row>
    <row r="41" ht="20" customHeight="1" spans="1:9" s="2" customFormat="1" x14ac:dyDescent="0.25">
      <c r="A41" s="27"/>
      <c r="B41" s="56"/>
      <c r="C41" s="47" t="s">
        <v>79</v>
      </c>
      <c r="D41" s="4">
        <v>266.2</v>
      </c>
      <c r="E41" s="36">
        <f>IF(B5=0,0,D41/B5)</f>
        <v>0</v>
      </c>
      <c r="F41" s="37">
        <f>IF(B3=0,0,D41/B3)</f>
        <v>0.3461638491547464</v>
      </c>
      <c r="G41" s="32"/>
      <c r="H41" s="57" t="s">
        <v>80</v>
      </c>
      <c r="I41" s="4">
        <v>245.35</v>
      </c>
    </row>
    <row r="42" ht="20" customHeight="1" spans="1:9" s="2" customFormat="1" x14ac:dyDescent="0.25">
      <c r="A42" s="27"/>
      <c r="B42" s="56"/>
      <c r="C42" s="34" t="s">
        <v>81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82</v>
      </c>
      <c r="D43" s="4">
        <v>91.8</v>
      </c>
      <c r="E43" s="36">
        <f>IF(B5=0,0,D43/B5)</f>
        <v>0</v>
      </c>
      <c r="F43" s="37">
        <f>IF(B3=0,0,D43/B3)</f>
        <v>0.11937581274382314</v>
      </c>
      <c r="G43" s="32"/>
      <c r="H43" s="57" t="s">
        <v>83</v>
      </c>
      <c r="I43" s="4"/>
    </row>
    <row r="44" ht="35" customHeight="1" spans="1:9" s="2" customFormat="1" x14ac:dyDescent="0.25">
      <c r="A44" s="39"/>
      <c r="B44" s="30"/>
      <c r="C44" s="47" t="s">
        <v>84</v>
      </c>
      <c r="D44" s="4">
        <v>8.4</v>
      </c>
      <c r="E44" s="36">
        <f>IF(B5=0,0,D44/B5)</f>
        <v>0</v>
      </c>
      <c r="F44" s="37">
        <f>IF(B3=0,0,D44/B3)</f>
        <v>0.01092327698309493</v>
      </c>
      <c r="G44" s="31"/>
      <c r="H44" s="33" t="s">
        <v>85</v>
      </c>
      <c r="I44" s="4">
        <v>18.8</v>
      </c>
    </row>
    <row r="45" ht="20" customHeight="1" spans="1:9" s="2" customFormat="1" x14ac:dyDescent="0.25">
      <c r="A45" s="4" t="s">
        <v>86</v>
      </c>
      <c r="B45" s="36">
        <f>IF(D3=0,0,SUM(D49:D49)/D3)</f>
        <v>0.0011802214830101347</v>
      </c>
      <c r="C45" s="34" t="s">
        <v>87</v>
      </c>
      <c r="D45" s="4">
        <v>3358.02</v>
      </c>
      <c r="E45" s="36">
        <f>IF(B5=0,0,D45/B5)</f>
        <v>0</v>
      </c>
      <c r="F45" s="17">
        <f>IF(B3=0,0,D45/B3)</f>
        <v>4.366736020806242</v>
      </c>
      <c r="G45" s="17">
        <f>IF(B3=0,0,SUM(D49:D49)/B3)</f>
        <v>0.15970091027308192</v>
      </c>
      <c r="H45" s="57"/>
      <c r="I45" s="4">
        <v>4802.01</v>
      </c>
    </row>
    <row r="46" ht="20" customHeight="1" spans="1:9" s="2" customFormat="1" x14ac:dyDescent="0.25">
      <c r="A46" s="4"/>
      <c r="B46" s="36"/>
      <c r="C46" s="34" t="s">
        <v>88</v>
      </c>
      <c r="D46" s="4">
        <v>-1446.36</v>
      </c>
      <c r="E46" s="36">
        <f>IF(B5=0,0,D46/B5)</f>
        <v>0</v>
      </c>
      <c r="F46" s="17">
        <f>IF(B3=0,0,D46/B3)</f>
        <v>-1.8808322496749024</v>
      </c>
      <c r="G46" s="17"/>
      <c r="H46" s="57"/>
      <c r="I46" s="4">
        <v>-2283.75</v>
      </c>
    </row>
    <row r="47" ht="20" customHeight="1" spans="1:9" s="2" customFormat="1" x14ac:dyDescent="0.25">
      <c r="A47" s="4"/>
      <c r="B47" s="36"/>
      <c r="C47" s="34" t="s">
        <v>89</v>
      </c>
      <c r="D47" s="4">
        <v>1305.66</v>
      </c>
      <c r="E47" s="36">
        <f>IF(B5=0,0,D47/B5)</f>
        <v>0</v>
      </c>
      <c r="F47" s="17">
        <f>IF(B3=0,0,D47/B3)</f>
        <v>1.6978673602080625</v>
      </c>
      <c r="G47" s="17"/>
      <c r="H47" s="33" t="s">
        <v>90</v>
      </c>
      <c r="I47" s="4">
        <v>4081.92</v>
      </c>
    </row>
    <row r="48" ht="20" customHeight="1" spans="1:9" s="2" customFormat="1" x14ac:dyDescent="0.25">
      <c r="A48" s="4"/>
      <c r="B48" s="36"/>
      <c r="C48" s="34" t="s">
        <v>91</v>
      </c>
      <c r="D48" s="4">
        <v>-3256.67</v>
      </c>
      <c r="E48" s="36">
        <f>IF(B5=0,0,D48/B5)</f>
        <v>0</v>
      </c>
      <c r="F48" s="17">
        <f>IF(B3=0,0,D48/B3)</f>
        <v>-4.234941482444733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92</v>
      </c>
      <c r="D49" s="4">
        <v>122.81</v>
      </c>
      <c r="E49" s="36">
        <f>IF(B5=0,0,D49/B5)</f>
        <v>0</v>
      </c>
      <c r="F49" s="17">
        <f>IF(B3=0,0,D49/B3)</f>
        <v>0.15970091027308192</v>
      </c>
      <c r="G49" s="17"/>
      <c r="H49" s="57"/>
      <c r="I49" s="4">
        <v>132.71</v>
      </c>
    </row>
    <row r="50" ht="20" customHeight="1" spans="1:9" s="2" customFormat="1" x14ac:dyDescent="0.25">
      <c r="A50" s="52" t="s">
        <v>93</v>
      </c>
      <c r="B50" s="50">
        <f>IF(D3=0,0,SUM(D50:D50)/D3)</f>
        <v>0.00035365320881665136</v>
      </c>
      <c r="C50" s="34" t="s">
        <v>94</v>
      </c>
      <c r="D50" s="4">
        <v>36.8</v>
      </c>
      <c r="E50" s="36">
        <f>IF(B5=0,0,D50/B5)</f>
        <v>0</v>
      </c>
      <c r="F50" s="17">
        <f>IF(B3=0,0,D50/B3)</f>
        <v>0.04785435630689206</v>
      </c>
      <c r="G50" s="17">
        <f>IF(B3=0,0,SUM(D50:D50)/B3)</f>
        <v>0.04785435630689206</v>
      </c>
      <c r="H50" s="33" t="s">
        <v>95</v>
      </c>
      <c r="I50" s="4"/>
    </row>
    <row r="51" ht="20" customHeight="1" spans="1:9" s="2" customFormat="1" x14ac:dyDescent="0.25">
      <c r="A51" s="52" t="s">
        <v>96</v>
      </c>
      <c r="B51" s="54">
        <f>IF(D3=0,0,SUM(D65:D65)/D3)</f>
        <v>0.0009514040128491436</v>
      </c>
      <c r="C51" s="58" t="s">
        <v>97</v>
      </c>
      <c r="D51" s="59">
        <f>(500*4)/3</f>
        <v>666.666666666667</v>
      </c>
      <c r="E51" s="36">
        <f>IF(B5=0,0,D51/B5)</f>
        <v>0</v>
      </c>
      <c r="F51" s="17">
        <f>IF(B3=0,0,D51/B3)</f>
        <v>0</v>
      </c>
      <c r="G51" s="32">
        <f>IF(B3=0,0,SUM(D65:D65)/B3)</f>
        <v>0.12873862158647595</v>
      </c>
      <c r="H51" s="33" t="s">
        <v>98</v>
      </c>
      <c r="I51" s="4"/>
    </row>
    <row r="52" ht="20" customHeight="1" spans="1:9" s="2" customFormat="1" x14ac:dyDescent="0.25">
      <c r="A52" s="27"/>
      <c r="B52" s="56"/>
      <c r="C52" s="58" t="s">
        <v>99</v>
      </c>
      <c r="D52" s="60">
        <v>584</v>
      </c>
      <c r="E52" s="36">
        <f>IF(B5=0,0,D52/B5)</f>
        <v>0</v>
      </c>
      <c r="F52" s="17">
        <f>IF(B3=0,0,D52/B3)</f>
        <v>0.7594278283485045</v>
      </c>
      <c r="G52" s="32"/>
      <c r="H52" s="33" t="s">
        <v>100</v>
      </c>
      <c r="I52" s="61">
        <v>1200</v>
      </c>
    </row>
    <row r="53" ht="20" customHeight="1" spans="1:9" s="2" customFormat="1" x14ac:dyDescent="0.25">
      <c r="A53" s="27"/>
      <c r="B53" s="56"/>
      <c r="C53" s="34" t="s">
        <v>101</v>
      </c>
      <c r="D53" s="53">
        <v>310.62</v>
      </c>
      <c r="E53" s="36">
        <f>IF(B5=0,0,D53/B5)</f>
        <v>0</v>
      </c>
      <c r="F53" s="17">
        <f>IF(B3=0,0,D53/B3)</f>
        <v>0.40392717815344603</v>
      </c>
      <c r="G53" s="32"/>
      <c r="H53" s="33" t="s">
        <v>102</v>
      </c>
      <c r="I53" s="62"/>
    </row>
    <row r="54" ht="20" customHeight="1" spans="1:9" s="2" customFormat="1" x14ac:dyDescent="0.25">
      <c r="A54" s="27"/>
      <c r="B54" s="56"/>
      <c r="C54" s="34" t="s">
        <v>103</v>
      </c>
      <c r="D54" s="4">
        <v>194.59</v>
      </c>
      <c r="E54" s="36">
        <f>IF(B5=0,0,D54/B5)</f>
        <v>0</v>
      </c>
      <c r="F54" s="17">
        <f>IF(B3=0,0,D54/B3)</f>
        <v>0.25304291287386216</v>
      </c>
      <c r="G54" s="32"/>
      <c r="H54" s="33" t="s">
        <v>104</v>
      </c>
      <c r="I54" s="4">
        <v>77.19</v>
      </c>
    </row>
    <row r="55" ht="22.5" customHeight="1" spans="1:9" s="2" customFormat="1" x14ac:dyDescent="0.25">
      <c r="A55" s="27"/>
      <c r="B55" s="56"/>
      <c r="C55" s="34" t="s">
        <v>105</v>
      </c>
      <c r="D55" s="4">
        <v>200</v>
      </c>
      <c r="E55" s="36">
        <f>IF(B5=0,0,D55/B5)</f>
        <v>0</v>
      </c>
      <c r="F55" s="17">
        <f>IF(B3=0,0,D55/B3)</f>
        <v>0.26007802340702213</v>
      </c>
      <c r="G55" s="32"/>
      <c r="H55" s="63" t="s">
        <v>106</v>
      </c>
      <c r="I55" s="4">
        <v>199.5</v>
      </c>
    </row>
    <row r="56" ht="20" customHeight="1" spans="1:9" s="2" customFormat="1" x14ac:dyDescent="0.25">
      <c r="A56" s="27"/>
      <c r="B56" s="56"/>
      <c r="C56" s="34" t="s">
        <v>107</v>
      </c>
      <c r="D56" s="4">
        <v>29.1</v>
      </c>
      <c r="E56" s="36">
        <f>IF(B5=0,0,D56/B5)</f>
        <v>0</v>
      </c>
      <c r="F56" s="17">
        <f>IF(B3=0,0,D56/B3)</f>
        <v>0.03784135240572172</v>
      </c>
      <c r="G56" s="32"/>
      <c r="H56" s="64" t="s">
        <v>108</v>
      </c>
      <c r="I56" s="4">
        <v>153.56</v>
      </c>
    </row>
    <row r="57" ht="20" customHeight="1" spans="1:9" s="2" customFormat="1" x14ac:dyDescent="0.25">
      <c r="A57" s="27"/>
      <c r="B57" s="56"/>
      <c r="C57" s="34" t="s">
        <v>109</v>
      </c>
      <c r="D57" s="4">
        <v>22.3</v>
      </c>
      <c r="E57" s="36">
        <f>IF(B5=0,0,D57/B5)</f>
        <v>0</v>
      </c>
      <c r="F57" s="17">
        <f>IF(B3=0,0,D57/B3)</f>
        <v>0.028998699609882966</v>
      </c>
      <c r="G57" s="32"/>
      <c r="H57" s="33" t="s">
        <v>110</v>
      </c>
      <c r="I57" s="4"/>
    </row>
    <row r="58" ht="20" customHeight="1" spans="1:9" s="2" customFormat="1" x14ac:dyDescent="0.25">
      <c r="A58" s="27"/>
      <c r="B58" s="56"/>
      <c r="C58" s="34" t="s">
        <v>111</v>
      </c>
      <c r="D58" s="4">
        <v>640</v>
      </c>
      <c r="E58" s="36">
        <f>IF(B5=0,0,D58/B5)</f>
        <v>0</v>
      </c>
      <c r="F58" s="17">
        <f>IF(B3=0,0,D58/B3)</f>
        <v>0.8322496749024707</v>
      </c>
      <c r="G58" s="32"/>
      <c r="H58" s="33" t="s">
        <v>112</v>
      </c>
      <c r="I58" s="4">
        <v>894.77</v>
      </c>
    </row>
    <row r="59" ht="20" customHeight="1" spans="1:9" s="2" customFormat="1" x14ac:dyDescent="0.25">
      <c r="A59" s="27"/>
      <c r="B59" s="56"/>
      <c r="C59" s="58" t="s">
        <v>113</v>
      </c>
      <c r="D59" s="26">
        <v>1357</v>
      </c>
      <c r="E59" s="36">
        <f>IF(B5=0,0,D59/B5)</f>
        <v>0</v>
      </c>
      <c r="F59" s="17">
        <f>IF(B3=0,0,D59/B3)</f>
        <v>1.7646293888166449</v>
      </c>
      <c r="G59" s="32"/>
      <c r="H59" s="33" t="s">
        <v>114</v>
      </c>
      <c r="I59" s="4"/>
    </row>
    <row r="60" ht="20" customHeight="1" spans="1:9" s="2" customFormat="1" x14ac:dyDescent="0.25">
      <c r="A60" s="27"/>
      <c r="B60" s="56"/>
      <c r="C60" s="58" t="s">
        <v>115</v>
      </c>
      <c r="D60" s="26">
        <v>83.33</v>
      </c>
      <c r="E60" s="36">
        <f>IF(B5=0,0,D60/B5)</f>
        <v>0</v>
      </c>
      <c r="F60" s="17">
        <f>IF(B3=0,0,D60/B3)</f>
        <v>0.10836150845253575</v>
      </c>
      <c r="G60" s="32"/>
      <c r="H60" s="33" t="s">
        <v>116</v>
      </c>
      <c r="I60" s="4">
        <v>83.33</v>
      </c>
    </row>
    <row r="61" ht="20" customHeight="1" spans="1:9" s="2" customFormat="1" x14ac:dyDescent="0.25">
      <c r="A61" s="27"/>
      <c r="B61" s="56"/>
      <c r="C61" s="58" t="s">
        <v>117</v>
      </c>
      <c r="D61" s="26">
        <v>500</v>
      </c>
      <c r="E61" s="36">
        <f>IF(B5=0,0,D61/B5)</f>
        <v>0</v>
      </c>
      <c r="F61" s="17">
        <f>IF(B3=0,0,D61/B3)</f>
        <v>0.6501950585175552</v>
      </c>
      <c r="G61" s="32"/>
      <c r="H61" s="33" t="s">
        <v>118</v>
      </c>
      <c r="I61" s="4">
        <v>500</v>
      </c>
    </row>
    <row r="62" ht="20" customHeight="1" spans="1:9" s="2" customFormat="1" x14ac:dyDescent="0.25">
      <c r="A62" s="27"/>
      <c r="B62" s="56"/>
      <c r="C62" s="58" t="s">
        <v>119</v>
      </c>
      <c r="D62" s="26">
        <v>400</v>
      </c>
      <c r="E62" s="36">
        <f>IF(B5=0,0,D62/B5)</f>
        <v>0</v>
      </c>
      <c r="F62" s="17">
        <f>IF(B3=0,0,D62/B3)</f>
        <v>0.5201560468140443</v>
      </c>
      <c r="G62" s="32"/>
      <c r="H62" s="38" t="s">
        <v>120</v>
      </c>
      <c r="I62" s="4">
        <v>400</v>
      </c>
    </row>
    <row r="63" ht="23" customHeight="1" spans="1:9" s="2" customFormat="1" x14ac:dyDescent="0.25">
      <c r="A63" s="27"/>
      <c r="B63" s="56"/>
      <c r="C63" s="65" t="s">
        <v>121</v>
      </c>
      <c r="D63" s="66">
        <f>2006/3</f>
        <v>668.666666666667</v>
      </c>
      <c r="E63" s="36">
        <f>IF(B5=0,0,D63/B5)</f>
        <v>0</v>
      </c>
      <c r="F63" s="17">
        <f>IF(B3=0,0,D63/B3)</f>
        <v>0</v>
      </c>
      <c r="G63" s="32"/>
      <c r="H63" s="67" t="s">
        <v>122</v>
      </c>
      <c r="I63" s="5"/>
    </row>
    <row r="64" ht="25" customHeight="1" spans="1:9" s="2" customFormat="1" x14ac:dyDescent="0.25">
      <c r="A64" s="27"/>
      <c r="B64" s="56"/>
      <c r="C64" s="34" t="s">
        <v>123</v>
      </c>
      <c r="D64" s="4">
        <v>104.2</v>
      </c>
      <c r="E64" s="36">
        <f>IF(B5=0,0,D64/B5)</f>
        <v>0</v>
      </c>
      <c r="F64" s="17">
        <f>IF(B3=0,0,D64/B3)</f>
        <v>0.13550065019505853</v>
      </c>
      <c r="G64" s="32"/>
      <c r="H64" s="33" t="s">
        <v>124</v>
      </c>
      <c r="I64" s="4">
        <v>53.48</v>
      </c>
    </row>
    <row r="65" ht="25" customHeight="1" spans="1:9" s="2" customFormat="1" x14ac:dyDescent="0.25">
      <c r="A65" s="27"/>
      <c r="B65" s="56"/>
      <c r="C65" s="4" t="s">
        <v>125</v>
      </c>
      <c r="D65" s="4">
        <v>99</v>
      </c>
      <c r="E65" s="36">
        <f>IF(B5=0,0,D65/B5)</f>
        <v>0</v>
      </c>
      <c r="F65" s="17">
        <f>IF(B3=0,0,D65/B3)</f>
        <v>0.12873862158647595</v>
      </c>
      <c r="G65" s="32"/>
      <c r="H65" s="33" t="s">
        <v>126</v>
      </c>
      <c r="I65" s="4"/>
    </row>
    <row r="66" ht="20" customHeight="1" spans="1:9" s="2" customFormat="1" x14ac:dyDescent="0.25">
      <c r="A66" s="42" t="s">
        <v>127</v>
      </c>
      <c r="B66" s="68">
        <f>IF(D3=0,0,D66/D3)</f>
        <v>0.597292015875185</v>
      </c>
      <c r="C66" s="42"/>
      <c r="D66" s="69">
        <f>SUM(D8:D65)</f>
        <v>62152.26</v>
      </c>
      <c r="E66" s="42"/>
      <c r="F66" s="69">
        <f>IF(B3=0,0,D66/B3)</f>
        <v>80.82218465539663</v>
      </c>
      <c r="G66" s="69">
        <f>IF(B3=0,0,D66/B3)</f>
        <v>80.82218465539663</v>
      </c>
      <c r="H66" s="70"/>
      <c r="I66" s="42">
        <v>92490.787</v>
      </c>
    </row>
    <row r="67" ht="31.9" customHeight="1" spans="1:8" s="2" customFormat="1" x14ac:dyDescent="0.25">
      <c r="A67" s="71" t="s">
        <v>128</v>
      </c>
      <c r="B67" s="71"/>
      <c r="C67" s="71"/>
      <c r="D67" s="71"/>
      <c r="E67" s="71" t="s">
        <v>129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104056.74</v>
      </c>
      <c r="E68" s="1" t="s">
        <v>130</v>
      </c>
      <c r="F68" s="1"/>
      <c r="G68" s="1"/>
      <c r="H68" s="1"/>
    </row>
    <row r="69" ht="31.9" customHeight="1" spans="1:8" s="2" customFormat="1" x14ac:dyDescent="0.25">
      <c r="A69" s="72" t="s">
        <v>131</v>
      </c>
      <c r="B69" s="72"/>
      <c r="C69" s="72"/>
      <c r="D69" s="72">
        <f>D66</f>
        <v>62152.26</v>
      </c>
      <c r="E69" s="73" t="s">
        <v>132</v>
      </c>
      <c r="F69" s="73"/>
      <c r="G69" s="73"/>
      <c r="H69" s="73"/>
    </row>
    <row r="70" ht="31.9" customHeight="1" spans="1:8" s="2" customFormat="1" x14ac:dyDescent="0.25">
      <c r="A70" s="72" t="s">
        <v>133</v>
      </c>
      <c r="B70" s="72"/>
      <c r="C70" s="72"/>
      <c r="D70" s="72">
        <f>D22+D23</f>
        <v>9156.622800000001</v>
      </c>
      <c r="E70" s="1" t="s">
        <v>134</v>
      </c>
      <c r="F70" s="1"/>
      <c r="G70" s="1"/>
      <c r="H70" s="1"/>
    </row>
    <row r="71" ht="31.9" customHeight="1" spans="1:8" s="2" customFormat="1" x14ac:dyDescent="0.25">
      <c r="A71" s="72" t="s">
        <v>135</v>
      </c>
      <c r="B71" s="72"/>
      <c r="C71" s="72"/>
      <c r="D71" s="72">
        <f>D68-D69</f>
        <v>41904.48</v>
      </c>
      <c r="E71" s="72"/>
      <c r="F71" s="72"/>
      <c r="G71" s="72"/>
      <c r="H71" s="72"/>
    </row>
    <row r="72" ht="31.9" customHeight="1" spans="1:8" s="2" customFormat="1" x14ac:dyDescent="0.25">
      <c r="A72" s="72" t="s">
        <v>136</v>
      </c>
      <c r="B72" s="72"/>
      <c r="C72" s="72"/>
      <c r="D72" s="74">
        <f>IF(D68=0,0,D71/D68)</f>
        <v>0.402707984124815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