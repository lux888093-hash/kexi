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<sst xmlns="http://schemas.openxmlformats.org/spreadsheetml/2006/main" count="139" uniqueCount="137">
  <si>
    <t>珂溪头疗-??? 2026?1?成本控制体质检测表（李萌哲、刘娟）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</si>
  <si>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</si>
  <si>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</si>
  <si>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</si>
  <si>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</si>
  <si>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</si>
  <si>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</si>
  <si>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</si>
  <si>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</si>
  <si>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</si>
  <si>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</si>
  <si>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</si>
  <si>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</si>
  <si>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</si>
  <si>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</si>
  <si>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</si>
  <si>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</si>
  <si>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</si>
  <si>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</si>
  <si>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</si>
  <si>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</si>
  <si>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</si>
  <si>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</si>
  <si>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</si>
  <si>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</si>
  <si>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</si>
  <si>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</si>
  <si>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</si>
  <si>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</si>
  <si>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</si>
  <si>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</si>
  <si>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</si>
  <si>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</si>
  <si>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</si>
  <si>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</si>
  <si>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</si>
  <si>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</si>
  <si>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</si>
  <si>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</si>
  <si>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</si>
  <si>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</si>
  <si>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</si>
  <si>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</t>
  </si>
  <si>
    <t>推广费</t>
  </si>
  <si>
    <t xml:space="preserve">门店宿舍
租金：</t>
  </si>
  <si>
    <t>门店</t>
  </si>
  <si>
    <t>7620*0.6+2400</t>
  </si>
  <si>
    <t>宿舍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</si>
  <si>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</si>
  <si>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</si>
  <si>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</si>
  <si>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</si>
  <si>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</si>
  <si>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</si>
  <si>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</si>
  <si>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</si>
  <si>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</si>
  <si>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</si>
  <si>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</si>
  <si>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</si>
  <si>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</si>
  <si>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</si>
  <si>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</si>
  <si>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</si>
  <si>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</si>
  <si>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</si>
  <si>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</si>
  <si>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</si>
  <si>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</si>
  <si>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</si>
  <si>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</si>
  <si>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章鱼刷、经络刷、拨筋棒、牛角梳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</si>
  <si>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</si>
  <si>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</si>
  <si>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</si>
  <si>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</si>
  <si>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</si>
  <si>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</si>
  <si>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盐包袋、已消毒包装袋、纸质打包袋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</si>
  <si>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</si>
  <si>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</si>
  <si>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</si>
  <si>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</si>
  <si>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</si>
  <si>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</si>
  <si>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订书针，热敏纸、笔</t>
  </si>
  <si>
    <t>手续费</t>
  </si>
  <si>
    <t>美团手续费</t>
  </si>
  <si>
    <t>美团返佣</t>
  </si>
  <si>
    <t>抖音手续费</t>
  </si>
  <si>
    <t>手续费1276.88达人佣金28.78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</si>
  <si>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</si>
  <si>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</si>
  <si>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</si>
  <si>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</si>
  <si>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</si>
  <si>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</si>
  <si>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</si>
  <si>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1.2.3分摊500个，4元/个</t>
  </si>
  <si>
    <t>增值服务-玩偶</t>
  </si>
  <si>
    <t>1.2.3分摊500个，3.5元/个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</si>
  <si>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</si>
  <si>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</si>
  <si>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</si>
  <si>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</si>
  <si>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</si>
  <si>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</si>
  <si>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</si>
  <si>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</si>
  <si>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</si>
  <si>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</si>
  <si>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</si>
  <si>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</si>
  <si>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</si>
  <si>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</si>
  <si>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</si>
  <si>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2025.08续费</t>
  </si>
  <si>
    <t>经营账费用</t>
  </si>
  <si>
    <t>202508-202607</t>
  </si>
  <si>
    <t>美团年费</t>
  </si>
  <si>
    <t>4800/年（2026.1-2026.12）</t>
  </si>
  <si>
    <t>门头招牌费</t>
  </si>
  <si>
    <t>2006分摊到１.２.３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</si>
  <si>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</si>
  <si>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</si>
  <si>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</si>
  <si>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</si>
  <si>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</si>
  <si>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</si>
  <si>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待复核：珂溪华创店2026年1月份工资（审核）.xlsx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</si>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</sst>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16262.07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21.14703511053316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/>
      <c r="E8" s="30">
        <f>IF(B5=0,0,D8/B5)</f>
        <v>0</v>
      </c>
      <c r="F8" s="31">
        <f>IF(B3=0,0,D8/B3)</f>
        <v>0</v>
      </c>
      <c r="G8" s="32">
        <f>IF(B3=0,0,SUM(D21:D21)/B3)</f>
        <v>0</v>
      </c>
      <c r="H8" s="33"/>
      <c r="I8" s="4"/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/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/>
    </row>
    <row r="11" ht="20" customHeight="1" spans="1:9" s="2" customFormat="1" x14ac:dyDescent="0.25">
      <c r="A11" s="27"/>
      <c r="B11" s="28"/>
      <c r="C11" s="34" t="s">
        <v>27</v>
      </c>
      <c r="D11" s="4"/>
      <c r="E11" s="36">
        <f>IF(B5=0,0,D11/B5)</f>
        <v>0</v>
      </c>
      <c r="F11" s="37">
        <f>IF(B3=0,0,D11/B3)</f>
        <v>0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/>
      <c r="E12" s="36">
        <f>IF(B5=0,0,D12/B5)</f>
        <v>0</v>
      </c>
      <c r="F12" s="37">
        <f>IF(B3=0,0,D12/B3)</f>
        <v>0</v>
      </c>
      <c r="G12" s="32"/>
      <c r="H12" s="33"/>
      <c r="I12" s="4"/>
    </row>
    <row r="13" ht="20" customHeight="1" spans="1:9" s="2" customFormat="1" x14ac:dyDescent="0.25">
      <c r="A13" s="27"/>
      <c r="B13" s="28"/>
      <c r="C13" s="34" t="s">
        <v>29</v>
      </c>
      <c r="D13" s="4"/>
      <c r="E13" s="36">
        <f>IF(B5=0,0,D13/B5)</f>
        <v>0</v>
      </c>
      <c r="F13" s="37">
        <f>IF(B3=0,0,D13/B3)</f>
        <v>0</v>
      </c>
      <c r="G13" s="32"/>
      <c r="H13" s="38"/>
      <c r="I13" s="4"/>
    </row>
    <row r="14" ht="20" customHeight="1" spans="1:9" s="2" customFormat="1" x14ac:dyDescent="0.25">
      <c r="A14" s="27"/>
      <c r="B14" s="28"/>
      <c r="C14" s="34" t="s">
        <v>30</v>
      </c>
      <c r="D14" s="4"/>
      <c r="E14" s="36">
        <f>IF(B5=0,0,D14/B5)</f>
        <v>0</v>
      </c>
      <c r="F14" s="37">
        <f>IF(B3=0,0,D14/B3)</f>
        <v>0</v>
      </c>
      <c r="G14" s="32"/>
      <c r="H14" s="38"/>
      <c r="I14" s="4"/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/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/>
      <c r="E18" s="36">
        <f>IF(B5=0,0,D18/B5)</f>
        <v>0</v>
      </c>
      <c r="F18" s="37">
        <f>IF(B3=0,0,D18/B3)</f>
        <v>0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0</v>
      </c>
      <c r="C21" s="34" t="s">
        <v>39</v>
      </c>
      <c r="D21" s="4"/>
      <c r="E21" s="36">
        <f>IF(B5=0,0,D21/B5)</f>
        <v>0</v>
      </c>
      <c r="F21" s="37">
        <f>IF(B3=0,0,D21/B3)</f>
        <v>0</v>
      </c>
      <c r="G21" s="31"/>
      <c r="H21" s="45"/>
      <c r="I21" s="4"/>
    </row>
    <row r="22" ht="20" customHeight="1" spans="1:9" s="2" customFormat="1" x14ac:dyDescent="0.25">
      <c r="A22" s="27" t="s">
        <v>40</v>
      </c>
      <c r="B22" s="46">
        <f>IF(D3=0,0,SUM(D23:D23)/D3)</f>
        <v>0</v>
      </c>
      <c r="C22" s="47" t="s">
        <v>41</v>
      </c>
      <c r="D22" s="48">
        <f>ROUND(D3*0.06,4)</f>
        <v>6243.4044</v>
      </c>
      <c r="E22" s="36">
        <f>IF(B5=0,0,D22/B5)</f>
        <v>0</v>
      </c>
      <c r="F22" s="37">
        <f>IF(B3=0,0,D22/B3)</f>
        <v>0</v>
      </c>
      <c r="G22" s="32">
        <f>IF(B3=0,0,SUM(D23:D23)/B3)</f>
        <v>0</v>
      </c>
      <c r="H22" s="33" t="s">
        <v>42</v>
      </c>
      <c r="I22" s="48"/>
    </row>
    <row r="23" ht="20" customHeight="1" spans="1:9" s="2" customFormat="1" x14ac:dyDescent="0.25">
      <c r="A23" s="27"/>
      <c r="B23" s="46"/>
      <c r="C23" s="47" t="s">
        <v>43</v>
      </c>
      <c r="D23" s="48"/>
      <c r="E23" s="36">
        <f>IF(B5=0,0,D23/B5)</f>
        <v>0</v>
      </c>
      <c r="F23" s="37">
        <f>IF(B3=0,0,D23/B3)</f>
        <v>0</v>
      </c>
      <c r="G23" s="32"/>
      <c r="H23" s="45"/>
      <c r="I23" s="48"/>
    </row>
    <row r="24" ht="20" customHeight="1" spans="1:9" s="2" customFormat="1" x14ac:dyDescent="0.25">
      <c r="A24" s="49" t="s">
        <v>44</v>
      </c>
      <c r="B24" s="50">
        <f>IF(D3=0,0,SUM(D25:D25)/D3)</f>
        <v>0</v>
      </c>
      <c r="C24" s="34" t="s">
        <v>45</v>
      </c>
      <c r="D24" s="4"/>
      <c r="E24" s="36">
        <f>IF(B5=0,0,D24/B5)</f>
        <v>0</v>
      </c>
      <c r="F24" s="17">
        <f>IF(B3=0,0,D24/B3)</f>
        <v>0</v>
      </c>
      <c r="G24" s="51">
        <f>IF(B3=0,0,SUM(D25:D25)/B3)</f>
        <v>0</v>
      </c>
      <c r="H24" s="38" t="s">
        <v>46</v>
      </c>
      <c r="I24" s="4"/>
    </row>
    <row r="25" ht="20" customHeight="1" spans="1:9" s="2" customFormat="1" x14ac:dyDescent="0.25">
      <c r="A25" s="39"/>
      <c r="B25" s="30"/>
      <c r="C25" s="34" t="s">
        <v>47</v>
      </c>
      <c r="D25" s="4"/>
      <c r="E25" s="36">
        <f>IF(B5=0,0,D25/B5)</f>
        <v>0</v>
      </c>
      <c r="F25" s="17">
        <f>IF(B3=0,0,D25/B3)</f>
        <v>0</v>
      </c>
      <c r="G25" s="31"/>
      <c r="H25" s="38"/>
      <c r="I25" s="4"/>
    </row>
    <row r="26" ht="20" customHeight="1" spans="1:9" s="2" customFormat="1" x14ac:dyDescent="0.25">
      <c r="A26" s="52" t="s">
        <v>48</v>
      </c>
      <c r="B26" s="50">
        <f>IF(D3=0,0,SUM(D27:D27)/D3)</f>
        <v>0.02883042463179223</v>
      </c>
      <c r="C26" s="34" t="s">
        <v>49</v>
      </c>
      <c r="D26" s="53"/>
      <c r="E26" s="36">
        <f>IF(B5=0,0,D26/B5)</f>
        <v>0</v>
      </c>
      <c r="F26" s="17">
        <f>IF(B3=0,0,D26/B3)</f>
        <v>0</v>
      </c>
      <c r="G26" s="51">
        <f>IF(B3=0,0,SUM(D27:D27)/B3)</f>
        <v>3.9011703511053315</v>
      </c>
      <c r="H26" s="38"/>
      <c r="I26" s="53"/>
    </row>
    <row r="27" ht="20" customHeight="1" spans="1:9" s="2" customFormat="1" x14ac:dyDescent="0.25">
      <c r="A27" s="39"/>
      <c r="B27" s="30"/>
      <c r="C27" s="34" t="s">
        <v>50</v>
      </c>
      <c r="D27" s="53">
        <v>3000</v>
      </c>
      <c r="E27" s="36">
        <f>IF(B5=0,0,D27/B5)</f>
        <v>0</v>
      </c>
      <c r="F27" s="17">
        <f>IF(B3=0,0,D27/B3)</f>
        <v>3.9011703511053315</v>
      </c>
      <c r="G27" s="31"/>
      <c r="H27" s="38" t="s">
        <v>51</v>
      </c>
      <c r="I27" s="53"/>
    </row>
    <row r="28" ht="20" customHeight="1" spans="1:9" s="2" customFormat="1" x14ac:dyDescent="0.25">
      <c r="A28" s="52" t="s">
        <v>52</v>
      </c>
      <c r="B28" s="50">
        <f>IF(D3=0,0,SUM(D28:D28)/D3)</f>
        <v>0.039949358398120104</v>
      </c>
      <c r="C28" s="34" t="s">
        <v>53</v>
      </c>
      <c r="D28" s="4">
        <v>4157</v>
      </c>
      <c r="E28" s="36">
        <f>IF(B5=0,0,D28/B5)</f>
        <v>0</v>
      </c>
      <c r="F28" s="17">
        <f>IF(B3=0,0,D28/B3)</f>
        <v>5.405721716514955</v>
      </c>
      <c r="G28" s="51">
        <f>IF(B3=0,0,SUM(D28:D28)/B3)</f>
        <v>5.405721716514955</v>
      </c>
      <c r="H28" s="38" t="s">
        <v>54</v>
      </c>
      <c r="I28" s="4"/>
    </row>
    <row r="29" ht="20" customHeight="1" spans="1:9" s="2" customFormat="1" x14ac:dyDescent="0.25">
      <c r="A29" s="52" t="s">
        <v>55</v>
      </c>
      <c r="B29" s="54">
        <f>IF(D3=0,0,SUM(D31:D31)/D3)</f>
        <v>0.0036464721074290813</v>
      </c>
      <c r="C29" s="47" t="s">
        <v>56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56</v>
      </c>
      <c r="I29" s="4"/>
    </row>
    <row r="30" ht="20" customHeight="1" spans="1:9" s="2" customFormat="1" x14ac:dyDescent="0.25">
      <c r="A30" s="27"/>
      <c r="B30" s="56"/>
      <c r="C30" s="47" t="s">
        <v>57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58</v>
      </c>
      <c r="I30" s="4"/>
    </row>
    <row r="31" ht="20" customHeight="1" spans="1:9" s="2" customFormat="1" x14ac:dyDescent="0.25">
      <c r="A31" s="39"/>
      <c r="B31" s="30"/>
      <c r="C31" s="47" t="s">
        <v>59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60</v>
      </c>
      <c r="I31" s="4"/>
    </row>
    <row r="32" ht="20" customHeight="1" spans="1:9" s="2" customFormat="1" x14ac:dyDescent="0.25">
      <c r="A32" s="52" t="s">
        <v>61</v>
      </c>
      <c r="B32" s="54">
        <f>IF(D3=0,0,SUM(D44:D44)/D3)</f>
        <v>0</v>
      </c>
      <c r="C32" s="4" t="s">
        <v>62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</v>
      </c>
      <c r="H32" s="57" t="s">
        <v>63</v>
      </c>
      <c r="I32" s="4"/>
    </row>
    <row r="33" ht="20" customHeight="1" spans="1:9" s="2" customFormat="1" x14ac:dyDescent="0.25">
      <c r="A33" s="27"/>
      <c r="B33" s="56"/>
      <c r="C33" s="4" t="s">
        <v>64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65</v>
      </c>
      <c r="I33" s="4"/>
    </row>
    <row r="34" ht="24" customHeight="1" spans="1:9" s="2" customFormat="1" x14ac:dyDescent="0.25">
      <c r="A34" s="27"/>
      <c r="B34" s="56"/>
      <c r="C34" s="47" t="s">
        <v>66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67</v>
      </c>
      <c r="I34" s="4"/>
    </row>
    <row r="35" ht="41" customHeight="1" spans="1:9" s="2" customFormat="1" x14ac:dyDescent="0.25">
      <c r="A35" s="27"/>
      <c r="B35" s="56"/>
      <c r="C35" s="47" t="s">
        <v>68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69</v>
      </c>
      <c r="I35" s="4"/>
    </row>
    <row r="36" ht="20" customHeight="1" spans="1:9" s="2" customFormat="1" x14ac:dyDescent="0.25">
      <c r="A36" s="27"/>
      <c r="B36" s="56"/>
      <c r="C36" s="4" t="s">
        <v>70</v>
      </c>
      <c r="D36" s="4"/>
      <c r="E36" s="36">
        <f>IF(B5=0,0,D36/B5)</f>
        <v>0</v>
      </c>
      <c r="F36" s="17">
        <f>IF(B3=0,0,D36/B3)</f>
        <v>0</v>
      </c>
      <c r="G36" s="32"/>
      <c r="H36" s="33" t="s">
        <v>71</v>
      </c>
      <c r="I36" s="4"/>
    </row>
    <row r="37" ht="20" customHeight="1" spans="1:9" s="2" customFormat="1" x14ac:dyDescent="0.25">
      <c r="A37" s="27"/>
      <c r="B37" s="56"/>
      <c r="C37" s="47" t="s">
        <v>72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73</v>
      </c>
      <c r="I37" s="4"/>
    </row>
    <row r="38" ht="20" customHeight="1" spans="1:9" s="2" customFormat="1" x14ac:dyDescent="0.25">
      <c r="A38" s="27"/>
      <c r="B38" s="56"/>
      <c r="C38" s="47" t="s">
        <v>74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75</v>
      </c>
      <c r="I38" s="4"/>
    </row>
    <row r="39" ht="20" customHeight="1" spans="1:9" s="2" customFormat="1" x14ac:dyDescent="0.25">
      <c r="A39" s="27"/>
      <c r="B39" s="56"/>
      <c r="C39" s="47" t="s">
        <v>76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77</v>
      </c>
      <c r="D40" s="4">
        <v>184.07</v>
      </c>
      <c r="E40" s="36">
        <f>IF(B5=0,0,D40/B5)</f>
        <v>0</v>
      </c>
      <c r="F40" s="37">
        <f>IF(B3=0,0,D40/B3)</f>
        <v>0.2393628088426528</v>
      </c>
      <c r="G40" s="32"/>
      <c r="H40" s="33" t="s">
        <v>78</v>
      </c>
      <c r="I40" s="4"/>
    </row>
    <row r="41" ht="20" customHeight="1" spans="1:9" s="2" customFormat="1" x14ac:dyDescent="0.25">
      <c r="A41" s="27"/>
      <c r="B41" s="56"/>
      <c r="C41" s="47" t="s">
        <v>79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80</v>
      </c>
      <c r="I41" s="4"/>
    </row>
    <row r="42" ht="20" customHeight="1" spans="1:9" s="2" customFormat="1" x14ac:dyDescent="0.25">
      <c r="A42" s="27"/>
      <c r="B42" s="56"/>
      <c r="C42" s="34" t="s">
        <v>81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82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83</v>
      </c>
      <c r="I43" s="4"/>
    </row>
    <row r="44" ht="35" customHeight="1" spans="1:9" s="2" customFormat="1" x14ac:dyDescent="0.25">
      <c r="A44" s="39"/>
      <c r="B44" s="30"/>
      <c r="C44" s="47" t="s">
        <v>84</v>
      </c>
      <c r="D44" s="4"/>
      <c r="E44" s="36">
        <f>IF(B5=0,0,D44/B5)</f>
        <v>0</v>
      </c>
      <c r="F44" s="37">
        <f>IF(B3=0,0,D44/B3)</f>
        <v>0</v>
      </c>
      <c r="G44" s="31"/>
      <c r="H44" s="33" t="s">
        <v>85</v>
      </c>
      <c r="I44" s="4"/>
    </row>
    <row r="45" ht="20" customHeight="1" spans="1:9" s="2" customFormat="1" x14ac:dyDescent="0.25">
      <c r="A45" s="4" t="s">
        <v>86</v>
      </c>
      <c r="B45" s="36">
        <f>IF(D3=0,0,SUM(D49:D49)/D3)</f>
        <v>0</v>
      </c>
      <c r="C45" s="34" t="s">
        <v>87</v>
      </c>
      <c r="D45" s="4"/>
      <c r="E45" s="36">
        <f>IF(B5=0,0,D45/B5)</f>
        <v>0</v>
      </c>
      <c r="F45" s="17">
        <f>IF(B3=0,0,D45/B3)</f>
        <v>0</v>
      </c>
      <c r="G45" s="17">
        <f>IF(B3=0,0,SUM(D49:D49)/B3)</f>
        <v>0</v>
      </c>
      <c r="H45" s="57"/>
      <c r="I45" s="4"/>
    </row>
    <row r="46" ht="20" customHeight="1" spans="1:9" s="2" customFormat="1" x14ac:dyDescent="0.25">
      <c r="A46" s="4"/>
      <c r="B46" s="36"/>
      <c r="C46" s="34" t="s">
        <v>88</v>
      </c>
      <c r="D46" s="4"/>
      <c r="E46" s="36">
        <f>IF(B5=0,0,D46/B5)</f>
        <v>0</v>
      </c>
      <c r="F46" s="17">
        <f>IF(B3=0,0,D46/B3)</f>
        <v>0</v>
      </c>
      <c r="G46" s="17"/>
      <c r="H46" s="57"/>
      <c r="I46" s="4"/>
    </row>
    <row r="47" ht="20" customHeight="1" spans="1:9" s="2" customFormat="1" x14ac:dyDescent="0.25">
      <c r="A47" s="4"/>
      <c r="B47" s="36"/>
      <c r="C47" s="34" t="s">
        <v>89</v>
      </c>
      <c r="D47" s="4"/>
      <c r="E47" s="36">
        <f>IF(B5=0,0,D47/B5)</f>
        <v>0</v>
      </c>
      <c r="F47" s="17">
        <f>IF(B3=0,0,D47/B3)</f>
        <v>0</v>
      </c>
      <c r="G47" s="17"/>
      <c r="H47" s="33" t="s">
        <v>90</v>
      </c>
      <c r="I47" s="4"/>
    </row>
    <row r="48" ht="20" customHeight="1" spans="1:9" s="2" customFormat="1" x14ac:dyDescent="0.25">
      <c r="A48" s="4"/>
      <c r="B48" s="36"/>
      <c r="C48" s="34" t="s">
        <v>91</v>
      </c>
      <c r="D48" s="4"/>
      <c r="E48" s="36">
        <f>IF(B5=0,0,D48/B5)</f>
        <v>0</v>
      </c>
      <c r="F48" s="17">
        <f>IF(B3=0,0,D48/B3)</f>
        <v>0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92</v>
      </c>
      <c r="D49" s="4"/>
      <c r="E49" s="36">
        <f>IF(B5=0,0,D49/B5)</f>
        <v>0</v>
      </c>
      <c r="F49" s="17">
        <f>IF(B3=0,0,D49/B3)</f>
        <v>0</v>
      </c>
      <c r="G49" s="17"/>
      <c r="H49" s="57"/>
      <c r="I49" s="4"/>
    </row>
    <row r="50" ht="20" customHeight="1" spans="1:9" s="2" customFormat="1" x14ac:dyDescent="0.25">
      <c r="A50" s="52" t="s">
        <v>93</v>
      </c>
      <c r="B50" s="50">
        <f>IF(D3=0,0,SUM(D50:D50)/D3)</f>
        <v>0.00035365320881665136</v>
      </c>
      <c r="C50" s="34" t="s">
        <v>94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95</v>
      </c>
      <c r="I50" s="4"/>
    </row>
    <row r="51" ht="20" customHeight="1" spans="1:9" s="2" customFormat="1" x14ac:dyDescent="0.25">
      <c r="A51" s="52" t="s">
        <v>96</v>
      </c>
      <c r="B51" s="54">
        <f>IF(D3=0,0,SUM(D65:D65)/D3)</f>
        <v>0.0009514040128491436</v>
      </c>
      <c r="C51" s="58" t="s">
        <v>97</v>
      </c>
      <c r="D51" s="59"/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 t="s">
        <v>98</v>
      </c>
      <c r="I51" s="4"/>
    </row>
    <row r="52" ht="20" customHeight="1" spans="1:9" s="2" customFormat="1" x14ac:dyDescent="0.25">
      <c r="A52" s="27"/>
      <c r="B52" s="56"/>
      <c r="C52" s="58" t="s">
        <v>99</v>
      </c>
      <c r="D52" s="60"/>
      <c r="E52" s="36">
        <f>IF(B5=0,0,D52/B5)</f>
        <v>0</v>
      </c>
      <c r="F52" s="17">
        <f>IF(B3=0,0,D52/B3)</f>
        <v>0</v>
      </c>
      <c r="G52" s="32"/>
      <c r="H52" s="33" t="s">
        <v>100</v>
      </c>
      <c r="I52" s="61"/>
    </row>
    <row r="53" ht="20" customHeight="1" spans="1:9" s="2" customFormat="1" x14ac:dyDescent="0.25">
      <c r="A53" s="27"/>
      <c r="B53" s="56"/>
      <c r="C53" s="34" t="s">
        <v>101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102</v>
      </c>
      <c r="I53" s="62"/>
    </row>
    <row r="54" ht="20" customHeight="1" spans="1:9" s="2" customFormat="1" x14ac:dyDescent="0.25">
      <c r="A54" s="27"/>
      <c r="B54" s="56"/>
      <c r="C54" s="34" t="s">
        <v>103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104</v>
      </c>
      <c r="I54" s="4"/>
    </row>
    <row r="55" ht="22.5" customHeight="1" spans="1:9" s="2" customFormat="1" x14ac:dyDescent="0.25">
      <c r="A55" s="27"/>
      <c r="B55" s="56"/>
      <c r="C55" s="34" t="s">
        <v>105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106</v>
      </c>
      <c r="I55" s="4"/>
    </row>
    <row r="56" ht="20" customHeight="1" spans="1:9" s="2" customFormat="1" x14ac:dyDescent="0.25">
      <c r="A56" s="27"/>
      <c r="B56" s="56"/>
      <c r="C56" s="34" t="s">
        <v>107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108</v>
      </c>
      <c r="I56" s="4"/>
    </row>
    <row r="57" ht="20" customHeight="1" spans="1:9" s="2" customFormat="1" x14ac:dyDescent="0.25">
      <c r="A57" s="27"/>
      <c r="B57" s="56"/>
      <c r="C57" s="34" t="s">
        <v>109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110</v>
      </c>
      <c r="I57" s="4"/>
    </row>
    <row r="58" ht="20" customHeight="1" spans="1:9" s="2" customFormat="1" x14ac:dyDescent="0.25">
      <c r="A58" s="27"/>
      <c r="B58" s="56"/>
      <c r="C58" s="34" t="s">
        <v>111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112</v>
      </c>
      <c r="I58" s="4"/>
    </row>
    <row r="59" ht="20" customHeight="1" spans="1:9" s="2" customFormat="1" x14ac:dyDescent="0.25">
      <c r="A59" s="27"/>
      <c r="B59" s="56"/>
      <c r="C59" s="58" t="s">
        <v>113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114</v>
      </c>
      <c r="I59" s="4"/>
    </row>
    <row r="60" ht="20" customHeight="1" spans="1:9" s="2" customFormat="1" x14ac:dyDescent="0.25">
      <c r="A60" s="27"/>
      <c r="B60" s="56"/>
      <c r="C60" s="58" t="s">
        <v>115</v>
      </c>
      <c r="D60" s="26"/>
      <c r="E60" s="36">
        <f>IF(B5=0,0,D60/B5)</f>
        <v>0</v>
      </c>
      <c r="F60" s="17">
        <f>IF(B3=0,0,D60/B3)</f>
        <v>0</v>
      </c>
      <c r="G60" s="32"/>
      <c r="H60" s="33" t="s">
        <v>116</v>
      </c>
      <c r="I60" s="4"/>
    </row>
    <row r="61" ht="20" customHeight="1" spans="1:9" s="2" customFormat="1" x14ac:dyDescent="0.25">
      <c r="A61" s="27"/>
      <c r="B61" s="56"/>
      <c r="C61" s="58" t="s">
        <v>117</v>
      </c>
      <c r="D61" s="26"/>
      <c r="E61" s="36">
        <f>IF(B5=0,0,D61/B5)</f>
        <v>0</v>
      </c>
      <c r="F61" s="17">
        <f>IF(B3=0,0,D61/B3)</f>
        <v>0</v>
      </c>
      <c r="G61" s="32"/>
      <c r="H61" s="33" t="s">
        <v>118</v>
      </c>
      <c r="I61" s="4"/>
    </row>
    <row r="62" ht="20" customHeight="1" spans="1:9" s="2" customFormat="1" x14ac:dyDescent="0.25">
      <c r="A62" s="27"/>
      <c r="B62" s="56"/>
      <c r="C62" s="58" t="s">
        <v>119</v>
      </c>
      <c r="D62" s="26"/>
      <c r="E62" s="36">
        <f>IF(B5=0,0,D62/B5)</f>
        <v>0</v>
      </c>
      <c r="F62" s="17">
        <f>IF(B3=0,0,D62/B3)</f>
        <v>0</v>
      </c>
      <c r="G62" s="32"/>
      <c r="H62" s="38" t="s">
        <v>120</v>
      </c>
      <c r="I62" s="4"/>
    </row>
    <row r="63" ht="23" customHeight="1" spans="1:9" s="2" customFormat="1" x14ac:dyDescent="0.25">
      <c r="A63" s="27"/>
      <c r="B63" s="56"/>
      <c r="C63" s="65" t="s">
        <v>121</v>
      </c>
      <c r="D63" s="66"/>
      <c r="E63" s="36">
        <f>IF(B5=0,0,D63/B5)</f>
        <v>0</v>
      </c>
      <c r="F63" s="17">
        <f>IF(B3=0,0,D63/B3)</f>
        <v>0</v>
      </c>
      <c r="G63" s="32"/>
      <c r="H63" s="67" t="s">
        <v>122</v>
      </c>
      <c r="I63" s="5"/>
    </row>
    <row r="64" ht="25" customHeight="1" spans="1:9" s="2" customFormat="1" x14ac:dyDescent="0.25">
      <c r="A64" s="27"/>
      <c r="B64" s="56"/>
      <c r="C64" s="34" t="s">
        <v>123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124</v>
      </c>
      <c r="I64" s="4"/>
    </row>
    <row r="65" ht="25" customHeight="1" spans="1:9" s="2" customFormat="1" x14ac:dyDescent="0.25">
      <c r="A65" s="27"/>
      <c r="B65" s="56"/>
      <c r="C65" s="4" t="s">
        <v>125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126</v>
      </c>
      <c r="I65" s="4"/>
    </row>
    <row r="66" ht="20" customHeight="1" spans="1:9" s="2" customFormat="1" x14ac:dyDescent="0.25">
      <c r="A66" s="42" t="s">
        <v>127</v>
      </c>
      <c r="B66" s="68">
        <f>IF(D3=0,0,D66/D3)</f>
        <v>0.15628079449730983</v>
      </c>
      <c r="C66" s="42"/>
      <c r="D66" s="69">
        <f>SUM(D8:D65)</f>
        <v>16262.07</v>
      </c>
      <c r="E66" s="42"/>
      <c r="F66" s="69">
        <f>IF(B3=0,0,D66/B3)</f>
        <v>21.14703511053316</v>
      </c>
      <c r="G66" s="69">
        <f>IF(B3=0,0,D66/B3)</f>
        <v>21.14703511053316</v>
      </c>
      <c r="H66" s="70"/>
      <c r="I66" s="42"/>
    </row>
    <row r="67" ht="31.9" customHeight="1" spans="1:8" s="2" customFormat="1" x14ac:dyDescent="0.25">
      <c r="A67" s="71" t="s">
        <v>128</v>
      </c>
      <c r="B67" s="71"/>
      <c r="C67" s="71"/>
      <c r="D67" s="71"/>
      <c r="E67" s="71" t="s">
        <v>129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130</v>
      </c>
      <c r="F68" s="1"/>
      <c r="G68" s="1"/>
      <c r="H68" s="1"/>
    </row>
    <row r="69" ht="31.9" customHeight="1" spans="1:8" s="2" customFormat="1" x14ac:dyDescent="0.25">
      <c r="A69" s="72" t="s">
        <v>131</v>
      </c>
      <c r="B69" s="72"/>
      <c r="C69" s="72"/>
      <c r="D69" s="72">
        <f>D66</f>
        <v>16262.07</v>
      </c>
      <c r="E69" s="73" t="s">
        <v>132</v>
      </c>
      <c r="F69" s="73"/>
      <c r="G69" s="73"/>
      <c r="H69" s="73"/>
    </row>
    <row r="70" ht="31.9" customHeight="1" spans="1:8" s="2" customFormat="1" x14ac:dyDescent="0.25">
      <c r="A70" s="72" t="s">
        <v>133</v>
      </c>
      <c r="B70" s="72"/>
      <c r="C70" s="72"/>
      <c r="D70" s="72">
        <f>D22+D23</f>
        <v>6243.4044</v>
      </c>
      <c r="E70" s="1" t="s">
        <v>134</v>
      </c>
      <c r="F70" s="1"/>
      <c r="G70" s="1"/>
      <c r="H70" s="1"/>
    </row>
    <row r="71" ht="31.9" customHeight="1" spans="1:8" s="2" customFormat="1" x14ac:dyDescent="0.25">
      <c r="A71" s="72" t="s">
        <v>135</v>
      </c>
      <c r="B71" s="72"/>
      <c r="C71" s="72"/>
      <c r="D71" s="72">
        <f>D68-D69</f>
        <v>87794.67000000001</v>
      </c>
      <c r="E71" s="72"/>
      <c r="F71" s="72"/>
      <c r="G71" s="72"/>
      <c r="H71" s="72"/>
    </row>
    <row r="72" ht="31.9" customHeight="1" spans="1:8" s="2" customFormat="1" x14ac:dyDescent="0.25">
      <c r="A72" s="72" t="s">
        <v>136</v>
      </c>
      <c r="B72" s="72"/>
      <c r="C72" s="72"/>
      <c r="D72" s="74">
        <f>IF(D68=0,0,D71/D68)</f>
        <v>0.8437192055026902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