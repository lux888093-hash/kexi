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8352" windowHeight="8055" firstSheet="4"/>
  </bookViews>
  <sheets>
    <sheet sheetId="8" name="1月" state="visible" r:id="rId4"/>
  </sheets>
  <calcPr calcId="171027" fullCalcOnLoad="1"/>
</workbook>
</file>

<file path=xl/comments8.xml><?xml version="1.0" encoding="utf-8"?>
<comments xmlns="http://schemas.openxmlformats.org/spreadsheetml/2006/main">
  <authors>
    <author>Author</author>
  </authors>
  <commentList>
    <comment ref="D3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机机乐现金业绩+会员卡支付+项目划卡-美团返佣</t>
        </r>
      </text>
    </comment>
    <comment ref="F3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现金业绩加储值金额</t>
        </r>
      </text>
    </comment>
    <comment ref="H3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会员充值汇总</t>
        </r>
      </text>
    </comment>
    <comment ref="B4" authorId="0">
      <text>
        <r>
          <rPr>
            <b/>
            <charset val="134"/>
            <sz val="9"/>
            <rFont val="宋体"/>
          </rPr>
          <t>Miss Liu:</t>
        </r>
        <r>
          <rPr>
            <charset val="134"/>
            <sz val="9"/>
            <rFont val="宋体"/>
          </rPr>
          <t xml:space="preserve">
各终端实际到账金额总和</t>
        </r>
      </text>
    </comment>
    <comment ref="C4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各终端实际到账的金额
</t>
        </r>
      </text>
    </comment>
    <comment ref="I4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现金业绩+会员卡支付+项目划卡-美团返佣-充电宝佣金
</t>
        </r>
      </text>
    </comment>
    <comment ref="D22" authorId="0">
      <text>
        <r>
          <rPr>
            <b/>
            <charset val="134"/>
            <sz val="9"/>
            <rFont val="宋体"/>
          </rPr>
          <t>Miss Liu:</t>
        </r>
        <r>
          <rPr>
            <charset val="134"/>
            <sz val="9"/>
            <rFont val="宋体"/>
          </rPr>
          <t xml:space="preserve">
核算总实收金额的6%</t>
        </r>
      </text>
    </comment>
    <comment ref="D23" authorId="0">
      <text>
        <r>
          <rPr>
            <b/>
            <charset val="134"/>
            <sz val="9"/>
            <rFont val="宋体"/>
          </rPr>
          <t>Miss Liu:</t>
        </r>
        <r>
          <rPr>
            <charset val="134"/>
            <sz val="9"/>
            <rFont val="宋体"/>
          </rPr>
          <t xml:space="preserve">
月度固定金额支出</t>
        </r>
      </text>
    </comment>
  </commentList>
</comments>
</file>

<file path=xl/sharedStrings.xml><?xml version="1.0" encoding="utf-8"?>
<sst xmlns="http://schemas.openxmlformats.org/spreadsheetml/2006/main" count="136" uniqueCount="134">
  <si>
    <t>珂溪头疗-??? 2026?1?成本控制体质检测表（李萌哲、刘娟）</t>
  </si>
  <si>
    <t>汇总数据</t>
  </si>
  <si>
    <t>月总客数：</t>
  </si>
  <si>
    <t>核算总实收</t>
  </si>
  <si>
    <t>机机乐总实收</t>
  </si>
  <si>
    <t>储蓄金额：</t>
  </si>
  <si>
    <t>月度总实收：</t>
  </si>
  <si>
    <t>微信银联支付宝：0.00 现金：0.00 美团：0.00 抖音：0.00</t>
  </si>
  <si>
    <t>项目实收（不含储蓄、额外、返佣）</t>
  </si>
  <si>
    <t>月总开支：</t>
  </si>
  <si>
    <t>月平均客单价：</t>
  </si>
  <si>
    <t>月平均客成本：</t>
  </si>
  <si>
    <t>新增会员数:</t>
  </si>
  <si>
    <t>明细数据</t>
  </si>
  <si>
    <t>开支项分类汇总金额</t>
  </si>
  <si>
    <t xml:space="preserve">开支项与
实收劳务产值比例</t>
  </si>
  <si>
    <t xml:space="preserve">细分项
名称</t>
  </si>
  <si>
    <t xml:space="preserve">细分项
金额</t>
  </si>
  <si>
    <t xml:space="preserve">细分项与
开支项比例</t>
  </si>
  <si>
    <t>客单项成本</t>
  </si>
  <si>
    <t xml:space="preserve">开支项
分摊客成本</t>
  </si>
  <si>
    <t>备注</t>
  </si>
  <si>
    <t xml:space="preserve">上个月数据
（12月）</t>
  </si>
  <si>
    <t>头疗师工资</t>
  </si>
  <si>
    <t>头疗师-纯手工</t>
  </si>
  <si>
    <t>头疗师-管理手工</t>
  </si>
  <si>
    <t>头疗师-培训补贴</t>
  </si>
  <si>
    <t>头疗师-保底补贴</t>
  </si>
  <si>
    <t>头疗师-充卡提成</t>
  </si>
  <si>
    <t>头疗师-家居提成</t>
  </si>
  <si>
    <t>头疗师-加班补贴</t>
  </si>
  <si>
    <t>头疗师-其他</t>
  </si>
  <si>
    <t>管理工资</t>
  </si>
  <si>
    <t>管理工资1（基本工资+岗位绩效）</t>
  </si>
  <si>
    <t>管理工资2（基本工资+岗位绩效）</t>
  </si>
  <si>
    <t>管理岗位1-月目标绩效</t>
  </si>
  <si>
    <t>管理岗位2-月目标绩效</t>
  </si>
  <si>
    <t>管理岗位其它奖励</t>
  </si>
  <si>
    <t>其他工资</t>
  </si>
  <si>
    <t>工衣、罚款、赔偿（薪资扣除）</t>
  </si>
  <si>
    <t>付管理公司：</t>
  </si>
  <si>
    <t>管理费</t>
  </si>
  <si>
    <t>核算总实收*0.06</t>
  </si>
  <si>
    <t>推广费</t>
  </si>
  <si>
    <t xml:space="preserve">门店宿舍
租金：</t>
  </si>
  <si>
    <t>门店</t>
  </si>
  <si>
    <t>7620*0.6+2400</t>
  </si>
  <si>
    <t>宿舍</t>
  </si>
  <si>
    <t>水电：</t>
  </si>
  <si>
    <t>水</t>
  </si>
  <si>
    <t>电</t>
  </si>
  <si>
    <t>生活费：</t>
  </si>
  <si>
    <t>餐费</t>
  </si>
  <si>
    <t>16-31号餐费、-- 2 of 10 -- 粉、粉</t>
  </si>
  <si>
    <t>增值服务：</t>
  </si>
  <si>
    <t>茶饮材料</t>
  </si>
  <si>
    <t>茶饮杯子</t>
  </si>
  <si>
    <t>杯盖</t>
  </si>
  <si>
    <t>坚果、面包干、糖果</t>
  </si>
  <si>
    <t>黑豆</t>
  </si>
  <si>
    <t>消耗品</t>
  </si>
  <si>
    <t>洗护产品</t>
  </si>
  <si>
    <t>赠送洗护产品</t>
  </si>
  <si>
    <t>34*20</t>
  </si>
  <si>
    <t>B区小项产品</t>
  </si>
  <si>
    <t>炎症护理液、防脱精华、白檀、头皮舒缓精华液、洁泥膏</t>
  </si>
  <si>
    <t>附加值产品</t>
  </si>
  <si>
    <t>姜泥按摩膏、冷热眼贴、肩颈热敷贴、暖手宝、补水液、茶麸包、护发精油、发泥、弹力素、助眠精油、玫瑰按摩膏</t>
  </si>
  <si>
    <t>洗护道具</t>
  </si>
  <si>
    <t>章鱼刷、经络刷、拨筋棒、牛角梳</t>
  </si>
  <si>
    <t>纸巾、棉签</t>
  </si>
  <si>
    <t>清洁产品</t>
  </si>
  <si>
    <t>84消毒液</t>
  </si>
  <si>
    <t>清洁道具</t>
  </si>
  <si>
    <t>袋子系列</t>
  </si>
  <si>
    <t>盐包袋、已消毒包装袋</t>
  </si>
  <si>
    <t>床单、口罩、手套</t>
  </si>
  <si>
    <t>手套</t>
  </si>
  <si>
    <t>木炭、固体酒精</t>
  </si>
  <si>
    <t>洗衣液、柔顺剂</t>
  </si>
  <si>
    <t>洗衣液</t>
  </si>
  <si>
    <t>其他消耗品</t>
  </si>
  <si>
    <t>订书针，热敏纸、笔</t>
  </si>
  <si>
    <t>手续费</t>
  </si>
  <si>
    <t>美团手续费</t>
  </si>
  <si>
    <t>美团返佣</t>
  </si>
  <si>
    <t>抖音手续费</t>
  </si>
  <si>
    <t>手续费1276.88达人佣金28.78</t>
  </si>
  <si>
    <t>抖音返佣</t>
  </si>
  <si>
    <t>银行手续费</t>
  </si>
  <si>
    <t>工程维修</t>
  </si>
  <si>
    <t>工程维修及硬件配件</t>
  </si>
  <si>
    <t>-- 7 of 10 -- 疏通剂</t>
  </si>
  <si>
    <t>其他开支</t>
  </si>
  <si>
    <t>增值服务-针织帽</t>
  </si>
  <si>
    <t>1.2.3分摊500个，4元/个</t>
  </si>
  <si>
    <t>增值服务-玩偶</t>
  </si>
  <si>
    <t>1.2.3分摊500个，3.5元/个</t>
  </si>
  <si>
    <t>成本物料</t>
  </si>
  <si>
    <t>发泥、干胶、-- 3 of 10 -- 隔水垫、隔水垫、-- 5 of 10 -- 姜、姜、垃圾袋</t>
  </si>
  <si>
    <t>新项目物料</t>
  </si>
  <si>
    <t>-- 1 of 10 -- 采耳工具</t>
  </si>
  <si>
    <t>话费及网络费</t>
  </si>
  <si>
    <t>话费</t>
  </si>
  <si>
    <t>办公费</t>
  </si>
  <si>
    <t>-- 4 of 10 -- 红笔、价目表打印</t>
  </si>
  <si>
    <t>低值耐耗品</t>
  </si>
  <si>
    <t>帽子支架</t>
  </si>
  <si>
    <t>员工福利</t>
  </si>
  <si>
    <t>员工聚餐</t>
  </si>
  <si>
    <t>固定资产-空调</t>
  </si>
  <si>
    <t>-- 6 of 10 -- 空调材料+人工</t>
  </si>
  <si>
    <t>机机乐费用（月度）</t>
  </si>
  <si>
    <t>2025.08续费</t>
  </si>
  <si>
    <t>经营账费用</t>
  </si>
  <si>
    <t>202508-202607</t>
  </si>
  <si>
    <t>美团年费</t>
  </si>
  <si>
    <t>4800/年（2026.1-2026.12）</t>
  </si>
  <si>
    <t>门头招牌费</t>
  </si>
  <si>
    <t>2006分摊到１.２.３</t>
  </si>
  <si>
    <t>杂费</t>
  </si>
  <si>
    <t>-- 8 of 10 -- 新年装饰、新年装饰</t>
  </si>
  <si>
    <t>退费支出</t>
  </si>
  <si>
    <t>顾客退年卡</t>
  </si>
  <si>
    <t>合计：</t>
  </si>
  <si>
    <t>总结：</t>
  </si>
  <si>
    <t>未自动归类：珂溪头疗华创店1月报销明细 1-15餐、水电费</t>
  </si>
  <si>
    <t>项目实收+其他收入+储蓄金额</t>
  </si>
  <si>
    <t>月度总开支：</t>
  </si>
  <si>
    <t>（含管理公司管理费及平台手续费）</t>
  </si>
  <si>
    <t>管理公司费：</t>
  </si>
  <si>
    <t>管理费+培训费</t>
  </si>
  <si>
    <t>月报表利润：</t>
  </si>
  <si>
    <t>月报表利润率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</si>
</sst>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-#,##0.00_ ;_ * &quot;-&quot;??_ ;_ @_ "/>
    <numFmt numFmtId="165" formatCode="0.00_ "/>
    <numFmt numFmtId="166" formatCode="0_ "/>
  </numFmts>
  <fonts count="13" x14ac:knownFonts="1">
    <font>
      <color theme="1"/>
      <family val="2"/>
      <scheme val="minor"/>
      <sz val="11"/>
      <name val="Calibri"/>
    </font>
    <font>
      <charset val="134"/>
      <sz val="12"/>
      <name val="宋体"/>
    </font>
    <font>
      <charset val="134"/>
      <sz val="14"/>
      <name val="宋体"/>
    </font>
    <font>
      <charset val="134"/>
      <scheme val="minor"/>
      <sz val="12"/>
      <name val="宋体"/>
    </font>
    <font>
      <charset val="134"/>
      <color theme="1"/>
      <scheme val="minor"/>
      <sz val="12"/>
      <name val="宋体"/>
    </font>
    <font>
      <charset val="134"/>
      <sz val="10"/>
      <name val="宋体"/>
    </font>
    <font>
      <charset val="134"/>
      <scheme val="minor"/>
      <sz val="10"/>
      <name val="宋体"/>
    </font>
    <font>
      <charset val="134"/>
      <sz val="11"/>
      <name val="宋体"/>
    </font>
    <font>
      <charset val="134"/>
      <color rgb="FFFF0000"/>
      <sz val="9"/>
      <name val="宋体"/>
    </font>
    <font>
      <charset val="134"/>
      <color rgb="FF000000"/>
      <sz val="10"/>
      <name val="宋体"/>
    </font>
    <font>
      <charset val="134"/>
      <scheme val="minor"/>
      <sz val="9"/>
      <name val="宋体"/>
    </font>
    <font>
      <charset val="134"/>
      <sz val="22"/>
      <name val="宋体"/>
    </font>
    <font>
      <charset val="134"/>
      <sz val="18"/>
      <name val="宋体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>
        <color indexed="8"/>
      </right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>
        <color indexed="8"/>
      </right>
      <top style="thin"/>
      <bottom style="thin"/>
      <diagonal/>
    </border>
    <border>
      <left style="thin"/>
      <right style="thin"/>
      <top style="thin">
        <color indexed="8"/>
      </top>
      <bottom style="thin"/>
      <diagonal/>
    </border>
    <border>
      <left style="thin"/>
      <right style="thin"/>
      <top style="thin"/>
      <bottom style="thin">
        <color indexed="8"/>
      </bottom>
      <diagonal/>
    </border>
    <border>
      <left style="thin"/>
      <right/>
      <top/>
      <bottom style="thin"/>
      <diagonal/>
    </border>
    <border>
      <left style="thin"/>
      <right/>
      <top/>
      <bottom/>
      <diagonal/>
    </border>
    <border>
      <left style="thin"/>
      <right style="thin"/>
      <top style="thin"/>
      <bottom/>
      <diagonal/>
    </border>
    <border>
      <left style="thin">
        <color indexed="8"/>
      </left>
      <right style="thin"/>
      <top style="thin"/>
      <bottom style="thin"/>
      <diagonal/>
    </border>
    <border>
      <left style="thin"/>
      <right style="thin">
        <color indexed="8"/>
      </right>
      <top style="thin"/>
      <bottom style="thin">
        <color indexed="8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65" fontId="1" fillId="0" borderId="1" xfId="0" applyNumberFormat="1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0" fontId="1" fillId="0" borderId="7" xfId="0" applyNumberFormat="1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/>
    </xf>
    <xf numFmtId="10" fontId="1" fillId="0" borderId="9" xfId="0" applyNumberFormat="1" applyFont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10" fontId="1" fillId="0" borderId="9" xfId="0" applyNumberFormat="1" applyFont="1" applyBorder="1" applyAlignment="1">
      <alignment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10" fontId="1" fillId="0" borderId="12" xfId="0" applyNumberFormat="1" applyFont="1" applyBorder="1" applyAlignment="1">
      <alignment horizontal="center" vertical="center" wrapText="1"/>
    </xf>
    <xf numFmtId="10" fontId="1" fillId="0" borderId="13" xfId="0" applyNumberFormat="1" applyFont="1" applyBorder="1" applyAlignment="1">
      <alignment vertical="center" wrapText="1"/>
    </xf>
    <xf numFmtId="0" fontId="7" fillId="0" borderId="10" xfId="0" applyFont="1" applyBorder="1" applyAlignment="1">
      <alignment vertical="center"/>
    </xf>
    <xf numFmtId="10" fontId="1" fillId="0" borderId="14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10" fontId="1" fillId="0" borderId="15" xfId="0" applyNumberFormat="1" applyFont="1" applyBorder="1" applyAlignment="1">
      <alignment horizontal="center" vertical="center" wrapText="1"/>
    </xf>
    <xf numFmtId="165" fontId="1" fillId="0" borderId="1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0" fontId="1" fillId="0" borderId="15" xfId="0" applyNumberFormat="1" applyFont="1" applyBorder="1" applyAlignment="1">
      <alignment horizontal="center" vertical="center"/>
    </xf>
    <xf numFmtId="0" fontId="1" fillId="6" borderId="10" xfId="0" applyFont="1" applyFill="1" applyBorder="1" applyAlignment="1">
      <alignment vertical="center"/>
    </xf>
    <xf numFmtId="10" fontId="1" fillId="0" borderId="7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vertical="center" wrapText="1"/>
    </xf>
    <xf numFmtId="0" fontId="1" fillId="6" borderId="10" xfId="0" applyFont="1" applyFill="1" applyBorder="1" applyAlignment="1">
      <alignment horizontal="center" vertical="center"/>
    </xf>
    <xf numFmtId="165" fontId="1" fillId="6" borderId="16" xfId="0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8" fillId="0" borderId="10" xfId="0" applyFont="1" applyBorder="1" applyAlignment="1">
      <alignment vertical="center" wrapText="1"/>
    </xf>
    <xf numFmtId="0" fontId="9" fillId="0" borderId="10" xfId="0" applyFont="1" applyBorder="1" applyAlignment="1">
      <alignment vertical="center"/>
    </xf>
    <xf numFmtId="0" fontId="1" fillId="6" borderId="13" xfId="0" applyFont="1" applyFill="1" applyBorder="1" applyAlignment="1">
      <alignment horizontal="center" vertical="center"/>
    </xf>
    <xf numFmtId="165" fontId="1" fillId="6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0" fontId="1" fillId="0" borderId="12" xfId="0" applyNumberFormat="1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workbookViewId="0" zoomScale="70" zoomScaleNormal="70">
      <selection activeCell="F30" sqref="F30"/>
    </sheetView>
  </sheetViews>
  <sheetFormatPr defaultRowHeight="15.75" outlineLevelRow="0" outlineLevelCol="0" x14ac:dyDescent="0" defaultColWidth="9" customHeight="1"/>
  <cols>
    <col min="1" max="1" width="12.2743362831858" style="1" customWidth="1"/>
    <col min="2" max="2" width="14.3982300884956" style="1" customWidth="1"/>
    <col min="3" max="3" width="33.6371681415929" style="1" customWidth="1"/>
    <col min="4" max="4" width="15" style="1" customWidth="1"/>
    <col min="5" max="5" width="26.3185840707965" style="1" customWidth="1"/>
    <col min="6" max="6" width="12.6017699115044" style="1" customWidth="1"/>
    <col min="7" max="7" width="12.0619469026549" style="1" customWidth="1"/>
    <col min="8" max="8" width="34.4778761061947" style="1" customWidth="1"/>
    <col min="9" max="9" width="12.6106194690265" style="2" customWidth="1"/>
    <col min="10" max="10" width="12.6283185840708" style="2" customWidth="1"/>
    <col min="11" max="12" width="9" style="2" customWidth="1"/>
    <col min="13" max="13" width="10.2743362831858" style="2" customWidth="1"/>
    <col min="14" max="16384" width="9" style="2" customWidth="1"/>
  </cols>
  <sheetData>
    <row r="1" ht="31" customHeight="1" spans="1:9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20" customHeight="1" spans="1:9" s="2" customFormat="1" x14ac:dyDescent="0.25">
      <c r="A2" s="4" t="s">
        <v>1</v>
      </c>
      <c r="B2" s="4"/>
      <c r="C2" s="4"/>
      <c r="D2" s="5"/>
      <c r="E2" s="4"/>
      <c r="F2" s="4"/>
      <c r="G2" s="4"/>
      <c r="H2" s="6"/>
      <c r="I2" s="4"/>
    </row>
    <row r="3" ht="37.5" customHeight="1" spans="1:9" s="2" customFormat="1" x14ac:dyDescent="0.25">
      <c r="A3" s="4" t="s">
        <v>2</v>
      </c>
      <c r="B3" s="7">
        <v>0</v>
      </c>
      <c r="C3" s="4" t="s">
        <v>3</v>
      </c>
      <c r="D3" s="8">
        <v>0</v>
      </c>
      <c r="E3" s="4" t="s">
        <v>4</v>
      </c>
      <c r="F3" s="4">
        <v>0</v>
      </c>
      <c r="G3" s="4" t="s">
        <v>5</v>
      </c>
      <c r="H3" s="9">
        <v>0</v>
      </c>
      <c r="I3" s="10"/>
    </row>
    <row r="4" ht="26" customHeight="1" spans="1:9" s="2" customFormat="1" x14ac:dyDescent="0.25">
      <c r="A4" s="11" t="s">
        <v>6</v>
      </c>
      <c r="B4" s="11">
        <v>0</v>
      </c>
      <c r="C4" s="12" t="s">
        <v>7</v>
      </c>
      <c r="D4" s="13"/>
      <c r="E4" s="13"/>
      <c r="F4" s="14"/>
      <c r="G4" s="15" t="s">
        <v>8</v>
      </c>
      <c r="H4" s="10"/>
      <c r="I4" s="16">
        <v>0</v>
      </c>
    </row>
    <row r="5" ht="26" customHeight="1" spans="1:9" s="2" customFormat="1" x14ac:dyDescent="0.25">
      <c r="A5" s="4" t="s">
        <v>9</v>
      </c>
      <c r="B5" s="17">
        <f>D66</f>
        <v>12823.34</v>
      </c>
      <c r="C5" s="4" t="s">
        <v>10</v>
      </c>
      <c r="D5" s="5">
        <f>IF(B3=0,0,D3/B3)</f>
        <v>0</v>
      </c>
      <c r="E5" s="4" t="s">
        <v>11</v>
      </c>
      <c r="F5" s="17">
        <f>IF(B3=0,0,B5/B3)</f>
        <v>0</v>
      </c>
      <c r="G5" s="4" t="s">
        <v>12</v>
      </c>
      <c r="H5" s="18">
        <v>0</v>
      </c>
      <c r="I5" s="19"/>
    </row>
    <row r="6" ht="20" customHeight="1" spans="1:9" s="2" customFormat="1" x14ac:dyDescent="0.25">
      <c r="A6" s="20" t="s">
        <v>13</v>
      </c>
      <c r="B6" s="21"/>
      <c r="C6" s="22"/>
      <c r="D6" s="22"/>
      <c r="E6" s="22"/>
      <c r="F6" s="22"/>
      <c r="G6" s="22"/>
      <c r="H6" s="22"/>
      <c r="I6" s="23"/>
    </row>
    <row r="7" ht="54" customHeight="1" spans="1:9" s="2" customFormat="1" x14ac:dyDescent="0.25">
      <c r="A7" s="24" t="s">
        <v>14</v>
      </c>
      <c r="B7" s="25" t="s">
        <v>15</v>
      </c>
      <c r="C7" s="24" t="s">
        <v>16</v>
      </c>
      <c r="D7" s="24" t="s">
        <v>17</v>
      </c>
      <c r="E7" s="24" t="s">
        <v>18</v>
      </c>
      <c r="F7" s="26" t="s">
        <v>19</v>
      </c>
      <c r="G7" s="24" t="s">
        <v>20</v>
      </c>
      <c r="H7" s="26" t="s">
        <v>21</v>
      </c>
      <c r="I7" s="24" t="s">
        <v>22</v>
      </c>
    </row>
    <row r="8" ht="20" customHeight="1" spans="1:9" s="2" customFormat="1" x14ac:dyDescent="0.25">
      <c r="A8" s="27" t="s">
        <v>23</v>
      </c>
      <c r="B8" s="28">
        <f>IF(D3=0,0,SUM(D15:D15)/D3)</f>
        <v>0</v>
      </c>
      <c r="C8" s="29" t="s">
        <v>24</v>
      </c>
      <c r="D8" s="4"/>
      <c r="E8" s="30">
        <f>IF(B5=0,0,D8/B5)</f>
        <v>0</v>
      </c>
      <c r="F8" s="31">
        <f>IF(B3=0,0,D8/B3)</f>
        <v>0</v>
      </c>
      <c r="G8" s="32">
        <f>IF(B3=0,0,SUM(D21:D21)/B3)</f>
        <v>0</v>
      </c>
      <c r="H8" s="33"/>
      <c r="I8" s="4"/>
    </row>
    <row r="9" ht="20" customHeight="1" spans="1:9" s="2" customFormat="1" x14ac:dyDescent="0.25">
      <c r="A9" s="27"/>
      <c r="B9" s="28"/>
      <c r="C9" s="29" t="s">
        <v>25</v>
      </c>
      <c r="D9" s="4"/>
      <c r="E9" s="30">
        <f>IF(B5=0,0,D9/B5)</f>
        <v>0</v>
      </c>
      <c r="F9" s="31">
        <f>IF(B3=0,0,D9/B3)</f>
        <v>0</v>
      </c>
      <c r="G9" s="32"/>
      <c r="H9" s="33"/>
      <c r="I9" s="4"/>
    </row>
    <row r="10" ht="20" customHeight="1" spans="1:9" s="2" customFormat="1" x14ac:dyDescent="0.25">
      <c r="A10" s="27"/>
      <c r="B10" s="28"/>
      <c r="C10" s="34" t="s">
        <v>26</v>
      </c>
      <c r="D10" s="35"/>
      <c r="E10" s="36">
        <f>IF(B5=0,0,D10/B5)</f>
        <v>0</v>
      </c>
      <c r="F10" s="37">
        <f>IF(B3=0,0,D10/B3)</f>
        <v>0</v>
      </c>
      <c r="G10" s="32"/>
      <c r="H10" s="38"/>
      <c r="I10" s="4"/>
    </row>
    <row r="11" ht="20" customHeight="1" spans="1:9" s="2" customFormat="1" x14ac:dyDescent="0.25">
      <c r="A11" s="27"/>
      <c r="B11" s="28"/>
      <c r="C11" s="34" t="s">
        <v>27</v>
      </c>
      <c r="D11" s="4"/>
      <c r="E11" s="36">
        <f>IF(B5=0,0,D11/B5)</f>
        <v>0</v>
      </c>
      <c r="F11" s="37">
        <f>IF(B3=0,0,D11/B3)</f>
        <v>0</v>
      </c>
      <c r="G11" s="32"/>
      <c r="H11" s="38"/>
      <c r="I11" s="4"/>
    </row>
    <row r="12" ht="20" customHeight="1" spans="1:9" s="2" customFormat="1" x14ac:dyDescent="0.25">
      <c r="A12" s="27"/>
      <c r="B12" s="28"/>
      <c r="C12" s="34" t="s">
        <v>28</v>
      </c>
      <c r="D12" s="35"/>
      <c r="E12" s="36">
        <f>IF(B5=0,0,D12/B5)</f>
        <v>0</v>
      </c>
      <c r="F12" s="37">
        <f>IF(B3=0,0,D12/B3)</f>
        <v>0</v>
      </c>
      <c r="G12" s="32"/>
      <c r="H12" s="33"/>
      <c r="I12" s="4"/>
    </row>
    <row r="13" ht="20" customHeight="1" spans="1:9" s="2" customFormat="1" x14ac:dyDescent="0.25">
      <c r="A13" s="27"/>
      <c r="B13" s="28"/>
      <c r="C13" s="34" t="s">
        <v>29</v>
      </c>
      <c r="D13" s="4"/>
      <c r="E13" s="36">
        <f>IF(B5=0,0,D13/B5)</f>
        <v>0</v>
      </c>
      <c r="F13" s="37">
        <f>IF(B3=0,0,D13/B3)</f>
        <v>0</v>
      </c>
      <c r="G13" s="32"/>
      <c r="H13" s="38"/>
      <c r="I13" s="4"/>
    </row>
    <row r="14" ht="20" customHeight="1" spans="1:9" s="2" customFormat="1" x14ac:dyDescent="0.25">
      <c r="A14" s="27"/>
      <c r="B14" s="28"/>
      <c r="C14" s="34" t="s">
        <v>30</v>
      </c>
      <c r="D14" s="4"/>
      <c r="E14" s="36">
        <f>IF(B5=0,0,D14/B5)</f>
        <v>0</v>
      </c>
      <c r="F14" s="37">
        <f>IF(B3=0,0,D14/B3)</f>
        <v>0</v>
      </c>
      <c r="G14" s="32"/>
      <c r="H14" s="38"/>
      <c r="I14" s="4"/>
    </row>
    <row r="15" ht="20" customHeight="1" spans="1:9" s="2" customFormat="1" x14ac:dyDescent="0.25">
      <c r="A15" s="39"/>
      <c r="B15" s="40"/>
      <c r="C15" s="34" t="s">
        <v>31</v>
      </c>
      <c r="D15" s="4"/>
      <c r="E15" s="36">
        <f>IF(B5=0,0,D15/B5)</f>
        <v>0</v>
      </c>
      <c r="F15" s="37">
        <f>IF(B3=0,0,D15/B3)</f>
        <v>0</v>
      </c>
      <c r="G15" s="32"/>
      <c r="H15" s="38"/>
      <c r="I15" s="4"/>
    </row>
    <row r="16" ht="20" customHeight="1" spans="1:9" s="2" customFormat="1" x14ac:dyDescent="0.25">
      <c r="A16" s="4" t="s">
        <v>32</v>
      </c>
      <c r="B16" s="41">
        <f>IF(D3=0,0,SUM(D20:D20)/D3)</f>
        <v>0</v>
      </c>
      <c r="C16" s="34" t="s">
        <v>33</v>
      </c>
      <c r="D16" s="4"/>
      <c r="E16" s="36">
        <f>IF(B5=0,0,D16/B5)</f>
        <v>0</v>
      </c>
      <c r="F16" s="37">
        <f>IF(B3=0,0,D16/B3)</f>
        <v>0</v>
      </c>
      <c r="G16" s="32"/>
      <c r="H16" s="38"/>
      <c r="I16" s="4"/>
    </row>
    <row r="17" ht="20" customHeight="1" spans="1:9" s="2" customFormat="1" x14ac:dyDescent="0.25">
      <c r="A17" s="4"/>
      <c r="B17" s="41"/>
      <c r="C17" s="34" t="s">
        <v>34</v>
      </c>
      <c r="D17" s="4"/>
      <c r="E17" s="36">
        <f>IF(B5=0,0,D17/B5)</f>
        <v>0</v>
      </c>
      <c r="F17" s="37">
        <f>IF(B3=0,0,D17/B3)</f>
        <v>0</v>
      </c>
      <c r="G17" s="32"/>
      <c r="H17" s="38"/>
      <c r="I17" s="4"/>
    </row>
    <row r="18" ht="20" customHeight="1" spans="1:9" s="2" customFormat="1" x14ac:dyDescent="0.25">
      <c r="A18" s="4"/>
      <c r="B18" s="41"/>
      <c r="C18" s="34" t="s">
        <v>35</v>
      </c>
      <c r="D18" s="4"/>
      <c r="E18" s="36">
        <f>IF(B5=0,0,D18/B5)</f>
        <v>0</v>
      </c>
      <c r="F18" s="37">
        <f>IF(B3=0,0,D18/B3)</f>
        <v>0</v>
      </c>
      <c r="G18" s="32"/>
      <c r="H18" s="38"/>
      <c r="I18" s="4"/>
    </row>
    <row r="19" ht="20" customHeight="1" spans="1:9" s="2" customFormat="1" x14ac:dyDescent="0.25">
      <c r="A19" s="4"/>
      <c r="B19" s="41"/>
      <c r="C19" s="34" t="s">
        <v>36</v>
      </c>
      <c r="D19" s="4"/>
      <c r="E19" s="36">
        <f>IF(B5=0,0,D19/B5)</f>
        <v>0</v>
      </c>
      <c r="F19" s="37">
        <f>IF(B3=0,0,D19/B3)</f>
        <v>0</v>
      </c>
      <c r="G19" s="32"/>
      <c r="H19" s="38"/>
      <c r="I19" s="4"/>
    </row>
    <row r="20" ht="20" customHeight="1" spans="1:9" s="2" customFormat="1" x14ac:dyDescent="0.25">
      <c r="A20" s="42"/>
      <c r="B20" s="43"/>
      <c r="C20" s="34" t="s">
        <v>37</v>
      </c>
      <c r="D20" s="4"/>
      <c r="E20" s="36">
        <f>IF(B5=0,0,D20/B5)</f>
        <v>0</v>
      </c>
      <c r="F20" s="37">
        <f>IF(B3=0,0,D20/B3)</f>
        <v>0</v>
      </c>
      <c r="G20" s="32"/>
      <c r="H20" s="38"/>
      <c r="I20" s="4"/>
    </row>
    <row r="21" ht="20" customHeight="1" spans="1:9" s="2" customFormat="1" x14ac:dyDescent="0.25">
      <c r="A21" s="39" t="s">
        <v>38</v>
      </c>
      <c r="B21" s="44">
        <f>IF(D3=0,0,SUM(D21:D21)/D3)</f>
        <v>0</v>
      </c>
      <c r="C21" s="34" t="s">
        <v>39</v>
      </c>
      <c r="D21" s="4"/>
      <c r="E21" s="36">
        <f>IF(B5=0,0,D21/B5)</f>
        <v>0</v>
      </c>
      <c r="F21" s="37">
        <f>IF(B3=0,0,D21/B3)</f>
        <v>0</v>
      </c>
      <c r="G21" s="31"/>
      <c r="H21" s="45"/>
      <c r="I21" s="4"/>
    </row>
    <row r="22" ht="20" customHeight="1" spans="1:9" s="2" customFormat="1" x14ac:dyDescent="0.25">
      <c r="A22" s="27" t="s">
        <v>40</v>
      </c>
      <c r="B22" s="46">
        <f>IF(D3=0,0,SUM(D23:D23)/D3)</f>
        <v>0</v>
      </c>
      <c r="C22" s="47" t="s">
        <v>41</v>
      </c>
      <c r="D22" s="48">
        <f>ROUND(D3*0.06,4)</f>
        <v>0</v>
      </c>
      <c r="E22" s="36">
        <f>IF(B5=0,0,D22/B5)</f>
        <v>0</v>
      </c>
      <c r="F22" s="37">
        <f>IF(B3=0,0,D22/B3)</f>
        <v>0</v>
      </c>
      <c r="G22" s="32">
        <f>IF(B3=0,0,SUM(D23:D23)/B3)</f>
        <v>0</v>
      </c>
      <c r="H22" s="33" t="s">
        <v>42</v>
      </c>
      <c r="I22" s="48"/>
    </row>
    <row r="23" ht="20" customHeight="1" spans="1:9" s="2" customFormat="1" x14ac:dyDescent="0.25">
      <c r="A23" s="27"/>
      <c r="B23" s="46"/>
      <c r="C23" s="47" t="s">
        <v>43</v>
      </c>
      <c r="D23" s="48"/>
      <c r="E23" s="36">
        <f>IF(B5=0,0,D23/B5)</f>
        <v>0</v>
      </c>
      <c r="F23" s="37">
        <f>IF(B3=0,0,D23/B3)</f>
        <v>0</v>
      </c>
      <c r="G23" s="32"/>
      <c r="H23" s="45"/>
      <c r="I23" s="48"/>
    </row>
    <row r="24" ht="20" customHeight="1" spans="1:9" s="2" customFormat="1" x14ac:dyDescent="0.25">
      <c r="A24" s="49" t="s">
        <v>44</v>
      </c>
      <c r="B24" s="50">
        <f>IF(D3=0,0,SUM(D25:D25)/D3)</f>
        <v>0</v>
      </c>
      <c r="C24" s="34" t="s">
        <v>45</v>
      </c>
      <c r="D24" s="4"/>
      <c r="E24" s="36">
        <f>IF(B5=0,0,D24/B5)</f>
        <v>0</v>
      </c>
      <c r="F24" s="17">
        <f>IF(B3=0,0,D24/B3)</f>
        <v>0</v>
      </c>
      <c r="G24" s="51">
        <f>IF(B3=0,0,SUM(D25:D25)/B3)</f>
        <v>0</v>
      </c>
      <c r="H24" s="38" t="s">
        <v>46</v>
      </c>
      <c r="I24" s="4"/>
    </row>
    <row r="25" ht="20" customHeight="1" spans="1:9" s="2" customFormat="1" x14ac:dyDescent="0.25">
      <c r="A25" s="39"/>
      <c r="B25" s="30"/>
      <c r="C25" s="34" t="s">
        <v>47</v>
      </c>
      <c r="D25" s="4"/>
      <c r="E25" s="36">
        <f>IF(B5=0,0,D25/B5)</f>
        <v>0</v>
      </c>
      <c r="F25" s="17">
        <f>IF(B3=0,0,D25/B3)</f>
        <v>0</v>
      </c>
      <c r="G25" s="31"/>
      <c r="H25" s="38"/>
      <c r="I25" s="4"/>
    </row>
    <row r="26" ht="20" customHeight="1" spans="1:9" s="2" customFormat="1" x14ac:dyDescent="0.25">
      <c r="A26" s="52" t="s">
        <v>48</v>
      </c>
      <c r="B26" s="50">
        <f>IF(D3=0,0,SUM(D27:D27)/D3)</f>
        <v>0</v>
      </c>
      <c r="C26" s="34" t="s">
        <v>49</v>
      </c>
      <c r="D26" s="53"/>
      <c r="E26" s="36">
        <f>IF(B5=0,0,D26/B5)</f>
        <v>0</v>
      </c>
      <c r="F26" s="17">
        <f>IF(B3=0,0,D26/B3)</f>
        <v>0</v>
      </c>
      <c r="G26" s="51">
        <f>IF(B3=0,0,SUM(D27:D27)/B3)</f>
        <v>0</v>
      </c>
      <c r="H26" s="38"/>
      <c r="I26" s="53"/>
    </row>
    <row r="27" ht="20" customHeight="1" spans="1:9" s="2" customFormat="1" x14ac:dyDescent="0.25">
      <c r="A27" s="39"/>
      <c r="B27" s="30"/>
      <c r="C27" s="34" t="s">
        <v>50</v>
      </c>
      <c r="D27" s="53"/>
      <c r="E27" s="36">
        <f>IF(B5=0,0,D27/B5)</f>
        <v>0</v>
      </c>
      <c r="F27" s="17">
        <f>IF(B3=0,0,D27/B3)</f>
        <v>0</v>
      </c>
      <c r="G27" s="31"/>
      <c r="H27" s="38"/>
      <c r="I27" s="53"/>
    </row>
    <row r="28" ht="20" customHeight="1" spans="1:9" s="2" customFormat="1" x14ac:dyDescent="0.25">
      <c r="A28" s="52" t="s">
        <v>51</v>
      </c>
      <c r="B28" s="50">
        <f>IF(D3=0,0,SUM(D28:D28)/D3)</f>
        <v>0</v>
      </c>
      <c r="C28" s="34" t="s">
        <v>52</v>
      </c>
      <c r="D28" s="4">
        <v>4666</v>
      </c>
      <c r="E28" s="36">
        <f>IF(B5=0,0,D28/B5)</f>
        <v>0</v>
      </c>
      <c r="F28" s="17">
        <f>IF(B3=0,0,D28/B3)</f>
        <v>0</v>
      </c>
      <c r="G28" s="51">
        <f>IF(B3=0,0,SUM(D28:D28)/B3)</f>
        <v>0</v>
      </c>
      <c r="H28" s="38" t="s">
        <v>53</v>
      </c>
      <c r="I28" s="4"/>
    </row>
    <row r="29" ht="20" customHeight="1" spans="1:9" s="2" customFormat="1" x14ac:dyDescent="0.25">
      <c r="A29" s="52" t="s">
        <v>54</v>
      </c>
      <c r="B29" s="54">
        <f>IF(D3=0,0,SUM(D31:D31)/D3)</f>
        <v>0</v>
      </c>
      <c r="C29" s="47" t="s">
        <v>55</v>
      </c>
      <c r="D29" s="26">
        <v>1144</v>
      </c>
      <c r="E29" s="36">
        <f>IF(B5=0,0,D29/B5)</f>
        <v>0</v>
      </c>
      <c r="F29" s="17">
        <f>IF(B3=0,0,D29/B3)</f>
        <v>0</v>
      </c>
      <c r="G29" s="51">
        <f>IF(B3=0,0,SUM(D31:D31)/B3)</f>
        <v>0</v>
      </c>
      <c r="H29" s="55" t="s">
        <v>55</v>
      </c>
      <c r="I29" s="4"/>
    </row>
    <row r="30" ht="20" customHeight="1" spans="1:9" s="2" customFormat="1" x14ac:dyDescent="0.25">
      <c r="A30" s="27"/>
      <c r="B30" s="56"/>
      <c r="C30" s="47" t="s">
        <v>56</v>
      </c>
      <c r="D30" s="4">
        <v>350</v>
      </c>
      <c r="E30" s="36">
        <f>IF(B5=0,0,D30/B5)</f>
        <v>0</v>
      </c>
      <c r="F30" s="17">
        <f>IF(B3=0,0,D30/B3)</f>
        <v>0</v>
      </c>
      <c r="G30" s="32"/>
      <c r="H30" s="38" t="s">
        <v>57</v>
      </c>
      <c r="I30" s="4"/>
    </row>
    <row r="31" ht="20" customHeight="1" spans="1:9" s="2" customFormat="1" x14ac:dyDescent="0.25">
      <c r="A31" s="39"/>
      <c r="B31" s="30"/>
      <c r="C31" s="47" t="s">
        <v>58</v>
      </c>
      <c r="D31" s="4">
        <v>52.88</v>
      </c>
      <c r="E31" s="36">
        <f>IF(B5=0,0,D31/B5)</f>
        <v>0</v>
      </c>
      <c r="F31" s="17">
        <f>IF(B3=0,0,D31/B3)</f>
        <v>0</v>
      </c>
      <c r="G31" s="31"/>
      <c r="H31" s="38" t="s">
        <v>59</v>
      </c>
      <c r="I31" s="4"/>
    </row>
    <row r="32" ht="20" customHeight="1" spans="1:9" s="2" customFormat="1" x14ac:dyDescent="0.25">
      <c r="A32" s="52" t="s">
        <v>60</v>
      </c>
      <c r="B32" s="54">
        <f>IF(D3=0,0,SUM(D44:D44)/D3)</f>
        <v>0</v>
      </c>
      <c r="C32" s="4" t="s">
        <v>61</v>
      </c>
      <c r="D32" s="4"/>
      <c r="E32" s="36">
        <f>IF(B5=0,0,D32/B5)</f>
        <v>0</v>
      </c>
      <c r="F32" s="17">
        <f>IF(B3=0,0,D32/B3)</f>
        <v>0</v>
      </c>
      <c r="G32" s="51">
        <f>IF(B3=0,0,SUM(D44:D44)/B3)</f>
        <v>0</v>
      </c>
      <c r="H32" s="57"/>
      <c r="I32" s="4"/>
    </row>
    <row r="33" ht="20" customHeight="1" spans="1:9" s="2" customFormat="1" x14ac:dyDescent="0.25">
      <c r="A33" s="27"/>
      <c r="B33" s="56"/>
      <c r="C33" s="4" t="s">
        <v>62</v>
      </c>
      <c r="D33" s="4"/>
      <c r="E33" s="36">
        <f>IF(B5=0,0,D33/B5)</f>
        <v>0</v>
      </c>
      <c r="F33" s="17">
        <f>IF(B3=0,0,D33/B3)</f>
        <v>0</v>
      </c>
      <c r="G33" s="32"/>
      <c r="H33" s="57" t="s">
        <v>63</v>
      </c>
      <c r="I33" s="4"/>
    </row>
    <row r="34" ht="24" customHeight="1" spans="1:9" s="2" customFormat="1" x14ac:dyDescent="0.25">
      <c r="A34" s="27"/>
      <c r="B34" s="56"/>
      <c r="C34" s="47" t="s">
        <v>64</v>
      </c>
      <c r="D34" s="4"/>
      <c r="E34" s="36">
        <f>IF(B5=0,0,D34/B5)</f>
        <v>0</v>
      </c>
      <c r="F34" s="17">
        <f>IF(B3=0,0,D34/B3)</f>
        <v>0</v>
      </c>
      <c r="G34" s="32"/>
      <c r="H34" s="33" t="s">
        <v>65</v>
      </c>
      <c r="I34" s="4"/>
    </row>
    <row r="35" ht="41" customHeight="1" spans="1:9" s="2" customFormat="1" x14ac:dyDescent="0.25">
      <c r="A35" s="27"/>
      <c r="B35" s="56"/>
      <c r="C35" s="47" t="s">
        <v>66</v>
      </c>
      <c r="D35" s="4"/>
      <c r="E35" s="36">
        <f>IF(B5=0,0,D35/B5)</f>
        <v>0</v>
      </c>
      <c r="F35" s="17">
        <f>IF(B3=0,0,D35/B3)</f>
        <v>0</v>
      </c>
      <c r="G35" s="32"/>
      <c r="H35" s="33" t="s">
        <v>67</v>
      </c>
      <c r="I35" s="4"/>
    </row>
    <row r="36" ht="20" customHeight="1" spans="1:9" s="2" customFormat="1" x14ac:dyDescent="0.25">
      <c r="A36" s="27"/>
      <c r="B36" s="56"/>
      <c r="C36" s="4" t="s">
        <v>68</v>
      </c>
      <c r="D36" s="4"/>
      <c r="E36" s="36">
        <f>IF(B5=0,0,D36/B5)</f>
        <v>0</v>
      </c>
      <c r="F36" s="17">
        <f>IF(B3=0,0,D36/B3)</f>
        <v>0</v>
      </c>
      <c r="G36" s="32"/>
      <c r="H36" s="33" t="s">
        <v>69</v>
      </c>
      <c r="I36" s="4"/>
    </row>
    <row r="37" ht="20" customHeight="1" spans="1:9" s="2" customFormat="1" x14ac:dyDescent="0.25">
      <c r="A37" s="27"/>
      <c r="B37" s="56"/>
      <c r="C37" s="47" t="s">
        <v>70</v>
      </c>
      <c r="D37" s="4"/>
      <c r="E37" s="36">
        <f>IF(B5=0,0,D37/B5)</f>
        <v>0</v>
      </c>
      <c r="F37" s="37">
        <f>IF(B3=0,0,D37/B3)</f>
        <v>0</v>
      </c>
      <c r="G37" s="32"/>
      <c r="H37" s="57"/>
      <c r="I37" s="4"/>
    </row>
    <row r="38" ht="20" customHeight="1" spans="1:9" s="2" customFormat="1" x14ac:dyDescent="0.25">
      <c r="A38" s="27"/>
      <c r="B38" s="56"/>
      <c r="C38" s="47" t="s">
        <v>71</v>
      </c>
      <c r="D38" s="4">
        <v>49.9</v>
      </c>
      <c r="E38" s="36">
        <f>IF(B5=0,0,D38/B5)</f>
        <v>0</v>
      </c>
      <c r="F38" s="37">
        <f>IF(B3=0,0,D38/B3)</f>
        <v>0</v>
      </c>
      <c r="G38" s="32"/>
      <c r="H38" s="33" t="s">
        <v>72</v>
      </c>
      <c r="I38" s="4"/>
    </row>
    <row r="39" ht="20" customHeight="1" spans="1:9" s="2" customFormat="1" x14ac:dyDescent="0.25">
      <c r="A39" s="27"/>
      <c r="B39" s="56"/>
      <c r="C39" s="47" t="s">
        <v>73</v>
      </c>
      <c r="D39" s="4"/>
      <c r="E39" s="36">
        <f>IF(B5=0,0,D39/B5)</f>
        <v>0</v>
      </c>
      <c r="F39" s="37">
        <f>IF(B3=0,0,D39/B3)</f>
        <v>0</v>
      </c>
      <c r="G39" s="32"/>
      <c r="H39" s="57"/>
      <c r="I39" s="4"/>
    </row>
    <row r="40" ht="20" customHeight="1" spans="1:9" s="2" customFormat="1" x14ac:dyDescent="0.25">
      <c r="A40" s="27"/>
      <c r="B40" s="56"/>
      <c r="C40" s="47" t="s">
        <v>74</v>
      </c>
      <c r="D40" s="4">
        <v>218.14</v>
      </c>
      <c r="E40" s="36">
        <f>IF(B5=0,0,D40/B5)</f>
        <v>0</v>
      </c>
      <c r="F40" s="37">
        <f>IF(B3=0,0,D40/B3)</f>
        <v>0</v>
      </c>
      <c r="G40" s="32"/>
      <c r="H40" s="33" t="s">
        <v>75</v>
      </c>
      <c r="I40" s="4"/>
    </row>
    <row r="41" ht="20" customHeight="1" spans="1:9" s="2" customFormat="1" x14ac:dyDescent="0.25">
      <c r="A41" s="27"/>
      <c r="B41" s="56"/>
      <c r="C41" s="47" t="s">
        <v>76</v>
      </c>
      <c r="D41" s="4">
        <v>188.4</v>
      </c>
      <c r="E41" s="36">
        <f>IF(B5=0,0,D41/B5)</f>
        <v>0</v>
      </c>
      <c r="F41" s="37">
        <f>IF(B3=0,0,D41/B3)</f>
        <v>0</v>
      </c>
      <c r="G41" s="32"/>
      <c r="H41" s="57" t="s">
        <v>77</v>
      </c>
      <c r="I41" s="4"/>
    </row>
    <row r="42" ht="20" customHeight="1" spans="1:9" s="2" customFormat="1" x14ac:dyDescent="0.25">
      <c r="A42" s="27"/>
      <c r="B42" s="56"/>
      <c r="C42" s="34" t="s">
        <v>78</v>
      </c>
      <c r="D42" s="4"/>
      <c r="E42" s="36">
        <f>IF(B5=0,0,D42/B5)</f>
        <v>0</v>
      </c>
      <c r="F42" s="37">
        <f>IF(B3=0,0,D42/B3)</f>
        <v>0</v>
      </c>
      <c r="G42" s="32"/>
      <c r="H42" s="57"/>
      <c r="I42" s="4"/>
    </row>
    <row r="43" ht="20" customHeight="1" spans="1:9" s="2" customFormat="1" x14ac:dyDescent="0.25">
      <c r="A43" s="27"/>
      <c r="B43" s="56"/>
      <c r="C43" s="47" t="s">
        <v>79</v>
      </c>
      <c r="D43" s="4">
        <v>183.6</v>
      </c>
      <c r="E43" s="36">
        <f>IF(B5=0,0,D43/B5)</f>
        <v>0</v>
      </c>
      <c r="F43" s="37">
        <f>IF(B3=0,0,D43/B3)</f>
        <v>0</v>
      </c>
      <c r="G43" s="32"/>
      <c r="H43" s="57" t="s">
        <v>80</v>
      </c>
      <c r="I43" s="4"/>
    </row>
    <row r="44" ht="35" customHeight="1" spans="1:9" s="2" customFormat="1" x14ac:dyDescent="0.25">
      <c r="A44" s="39"/>
      <c r="B44" s="30"/>
      <c r="C44" s="47" t="s">
        <v>81</v>
      </c>
      <c r="D44" s="4"/>
      <c r="E44" s="36">
        <f>IF(B5=0,0,D44/B5)</f>
        <v>0</v>
      </c>
      <c r="F44" s="37">
        <f>IF(B3=0,0,D44/B3)</f>
        <v>0</v>
      </c>
      <c r="G44" s="31"/>
      <c r="H44" s="33" t="s">
        <v>82</v>
      </c>
      <c r="I44" s="4"/>
    </row>
    <row r="45" ht="20" customHeight="1" spans="1:9" s="2" customFormat="1" x14ac:dyDescent="0.25">
      <c r="A45" s="4" t="s">
        <v>83</v>
      </c>
      <c r="B45" s="36">
        <f>IF(D3=0,0,SUM(D49:D49)/D3)</f>
        <v>0</v>
      </c>
      <c r="C45" s="34" t="s">
        <v>84</v>
      </c>
      <c r="D45" s="4"/>
      <c r="E45" s="36">
        <f>IF(B5=0,0,D45/B5)</f>
        <v>0</v>
      </c>
      <c r="F45" s="17">
        <f>IF(B3=0,0,D45/B3)</f>
        <v>0</v>
      </c>
      <c r="G45" s="17">
        <f>IF(B3=0,0,SUM(D49:D49)/B3)</f>
        <v>0</v>
      </c>
      <c r="H45" s="57"/>
      <c r="I45" s="4"/>
    </row>
    <row r="46" ht="20" customHeight="1" spans="1:9" s="2" customFormat="1" x14ac:dyDescent="0.25">
      <c r="A46" s="4"/>
      <c r="B46" s="36"/>
      <c r="C46" s="34" t="s">
        <v>85</v>
      </c>
      <c r="D46" s="4"/>
      <c r="E46" s="36">
        <f>IF(B5=0,0,D46/B5)</f>
        <v>0</v>
      </c>
      <c r="F46" s="17">
        <f>IF(B3=0,0,D46/B3)</f>
        <v>0</v>
      </c>
      <c r="G46" s="17"/>
      <c r="H46" s="57"/>
      <c r="I46" s="4"/>
    </row>
    <row r="47" ht="20" customHeight="1" spans="1:9" s="2" customFormat="1" x14ac:dyDescent="0.25">
      <c r="A47" s="4"/>
      <c r="B47" s="36"/>
      <c r="C47" s="34" t="s">
        <v>86</v>
      </c>
      <c r="D47" s="4"/>
      <c r="E47" s="36">
        <f>IF(B5=0,0,D47/B5)</f>
        <v>0</v>
      </c>
      <c r="F47" s="17">
        <f>IF(B3=0,0,D47/B3)</f>
        <v>0</v>
      </c>
      <c r="G47" s="17"/>
      <c r="H47" s="33" t="s">
        <v>87</v>
      </c>
      <c r="I47" s="4"/>
    </row>
    <row r="48" ht="20" customHeight="1" spans="1:9" s="2" customFormat="1" x14ac:dyDescent="0.25">
      <c r="A48" s="4"/>
      <c r="B48" s="36"/>
      <c r="C48" s="34" t="s">
        <v>88</v>
      </c>
      <c r="D48" s="4"/>
      <c r="E48" s="36">
        <f>IF(B5=0,0,D48/B5)</f>
        <v>0</v>
      </c>
      <c r="F48" s="17">
        <f>IF(B3=0,0,D48/B3)</f>
        <v>0</v>
      </c>
      <c r="G48" s="17"/>
      <c r="H48" s="33"/>
      <c r="I48" s="4"/>
    </row>
    <row r="49" ht="20" customHeight="1" spans="1:9" s="2" customFormat="1" x14ac:dyDescent="0.25">
      <c r="A49" s="4"/>
      <c r="B49" s="36"/>
      <c r="C49" s="34" t="s">
        <v>89</v>
      </c>
      <c r="D49" s="4"/>
      <c r="E49" s="36">
        <f>IF(B5=0,0,D49/B5)</f>
        <v>0</v>
      </c>
      <c r="F49" s="17">
        <f>IF(B3=0,0,D49/B3)</f>
        <v>0</v>
      </c>
      <c r="G49" s="17"/>
      <c r="H49" s="57"/>
      <c r="I49" s="4"/>
    </row>
    <row r="50" ht="20" customHeight="1" spans="1:9" s="2" customFormat="1" x14ac:dyDescent="0.25">
      <c r="A50" s="52" t="s">
        <v>90</v>
      </c>
      <c r="B50" s="50">
        <f>IF(D3=0,0,SUM(D50:D50)/D3)</f>
        <v>0</v>
      </c>
      <c r="C50" s="34" t="s">
        <v>91</v>
      </c>
      <c r="D50" s="4">
        <v>73.6</v>
      </c>
      <c r="E50" s="36">
        <f>IF(B5=0,0,D50/B5)</f>
        <v>0</v>
      </c>
      <c r="F50" s="17">
        <f>IF(B3=0,0,D50/B3)</f>
        <v>0</v>
      </c>
      <c r="G50" s="17">
        <f>IF(B3=0,0,SUM(D50:D50)/B3)</f>
        <v>0</v>
      </c>
      <c r="H50" s="33" t="s">
        <v>92</v>
      </c>
      <c r="I50" s="4"/>
    </row>
    <row r="51" ht="20" customHeight="1" spans="1:9" s="2" customFormat="1" x14ac:dyDescent="0.25">
      <c r="A51" s="52" t="s">
        <v>93</v>
      </c>
      <c r="B51" s="54">
        <f>IF(D3=0,0,SUM(D65:D65)/D3)</f>
        <v>0</v>
      </c>
      <c r="C51" s="58" t="s">
        <v>94</v>
      </c>
      <c r="D51" s="59"/>
      <c r="E51" s="36">
        <f>IF(B5=0,0,D51/B5)</f>
        <v>0</v>
      </c>
      <c r="F51" s="17">
        <f>IF(B3=0,0,D51/B3)</f>
        <v>0</v>
      </c>
      <c r="G51" s="32">
        <f>IF(B3=0,0,SUM(D65:D65)/B3)</f>
        <v>0</v>
      </c>
      <c r="H51" s="33" t="s">
        <v>95</v>
      </c>
      <c r="I51" s="4"/>
    </row>
    <row r="52" ht="20" customHeight="1" spans="1:9" s="2" customFormat="1" x14ac:dyDescent="0.25">
      <c r="A52" s="27"/>
      <c r="B52" s="56"/>
      <c r="C52" s="58" t="s">
        <v>96</v>
      </c>
      <c r="D52" s="60"/>
      <c r="E52" s="36">
        <f>IF(B5=0,0,D52/B5)</f>
        <v>0</v>
      </c>
      <c r="F52" s="17">
        <f>IF(B3=0,0,D52/B3)</f>
        <v>0</v>
      </c>
      <c r="G52" s="32"/>
      <c r="H52" s="33" t="s">
        <v>97</v>
      </c>
      <c r="I52" s="61"/>
    </row>
    <row r="53" ht="20" customHeight="1" spans="1:9" s="2" customFormat="1" x14ac:dyDescent="0.25">
      <c r="A53" s="27"/>
      <c r="B53" s="56"/>
      <c r="C53" s="34" t="s">
        <v>98</v>
      </c>
      <c r="D53" s="53">
        <v>621.24</v>
      </c>
      <c r="E53" s="36">
        <f>IF(B5=0,0,D53/B5)</f>
        <v>0</v>
      </c>
      <c r="F53" s="17">
        <f>IF(B3=0,0,D53/B3)</f>
        <v>0</v>
      </c>
      <c r="G53" s="32"/>
      <c r="H53" s="33" t="s">
        <v>99</v>
      </c>
      <c r="I53" s="62"/>
    </row>
    <row r="54" ht="20" customHeight="1" spans="1:9" s="2" customFormat="1" x14ac:dyDescent="0.25">
      <c r="A54" s="27"/>
      <c r="B54" s="56"/>
      <c r="C54" s="34" t="s">
        <v>100</v>
      </c>
      <c r="D54" s="4">
        <v>389.18</v>
      </c>
      <c r="E54" s="36">
        <f>IF(B5=0,0,D54/B5)</f>
        <v>0</v>
      </c>
      <c r="F54" s="17">
        <f>IF(B3=0,0,D54/B3)</f>
        <v>0</v>
      </c>
      <c r="G54" s="32"/>
      <c r="H54" s="33" t="s">
        <v>101</v>
      </c>
      <c r="I54" s="4"/>
    </row>
    <row r="55" ht="22.5" customHeight="1" spans="1:9" s="2" customFormat="1" x14ac:dyDescent="0.25">
      <c r="A55" s="27"/>
      <c r="B55" s="56"/>
      <c r="C55" s="34" t="s">
        <v>102</v>
      </c>
      <c r="D55" s="4">
        <v>400</v>
      </c>
      <c r="E55" s="36">
        <f>IF(B5=0,0,D55/B5)</f>
        <v>0</v>
      </c>
      <c r="F55" s="17">
        <f>IF(B3=0,0,D55/B3)</f>
        <v>0</v>
      </c>
      <c r="G55" s="32"/>
      <c r="H55" s="63" t="s">
        <v>103</v>
      </c>
      <c r="I55" s="4"/>
    </row>
    <row r="56" ht="20" customHeight="1" spans="1:9" s="2" customFormat="1" x14ac:dyDescent="0.25">
      <c r="A56" s="27"/>
      <c r="B56" s="56"/>
      <c r="C56" s="34" t="s">
        <v>104</v>
      </c>
      <c r="D56" s="4">
        <v>41.4</v>
      </c>
      <c r="E56" s="36">
        <f>IF(B5=0,0,D56/B5)</f>
        <v>0</v>
      </c>
      <c r="F56" s="17">
        <f>IF(B3=0,0,D56/B3)</f>
        <v>0</v>
      </c>
      <c r="G56" s="32"/>
      <c r="H56" s="64" t="s">
        <v>105</v>
      </c>
      <c r="I56" s="4"/>
    </row>
    <row r="57" ht="20" customHeight="1" spans="1:9" s="2" customFormat="1" x14ac:dyDescent="0.25">
      <c r="A57" s="27"/>
      <c r="B57" s="56"/>
      <c r="C57" s="34" t="s">
        <v>106</v>
      </c>
      <c r="D57" s="4">
        <v>44.6</v>
      </c>
      <c r="E57" s="36">
        <f>IF(B5=0,0,D57/B5)</f>
        <v>0</v>
      </c>
      <c r="F57" s="17">
        <f>IF(B3=0,0,D57/B3)</f>
        <v>0</v>
      </c>
      <c r="G57" s="32"/>
      <c r="H57" s="33" t="s">
        <v>107</v>
      </c>
      <c r="I57" s="4"/>
    </row>
    <row r="58" ht="20" customHeight="1" spans="1:9" s="2" customFormat="1" x14ac:dyDescent="0.25">
      <c r="A58" s="27"/>
      <c r="B58" s="56"/>
      <c r="C58" s="34" t="s">
        <v>108</v>
      </c>
      <c r="D58" s="4">
        <v>1280</v>
      </c>
      <c r="E58" s="36">
        <f>IF(B5=0,0,D58/B5)</f>
        <v>0</v>
      </c>
      <c r="F58" s="17">
        <f>IF(B3=0,0,D58/B3)</f>
        <v>0</v>
      </c>
      <c r="G58" s="32"/>
      <c r="H58" s="33" t="s">
        <v>109</v>
      </c>
      <c r="I58" s="4"/>
    </row>
    <row r="59" ht="20" customHeight="1" spans="1:9" s="2" customFormat="1" x14ac:dyDescent="0.25">
      <c r="A59" s="27"/>
      <c r="B59" s="56"/>
      <c r="C59" s="58" t="s">
        <v>110</v>
      </c>
      <c r="D59" s="26">
        <v>2714</v>
      </c>
      <c r="E59" s="36">
        <f>IF(B5=0,0,D59/B5)</f>
        <v>0</v>
      </c>
      <c r="F59" s="17">
        <f>IF(B3=0,0,D59/B3)</f>
        <v>0</v>
      </c>
      <c r="G59" s="32"/>
      <c r="H59" s="33" t="s">
        <v>111</v>
      </c>
      <c r="I59" s="4"/>
    </row>
    <row r="60" ht="20" customHeight="1" spans="1:9" s="2" customFormat="1" x14ac:dyDescent="0.25">
      <c r="A60" s="27"/>
      <c r="B60" s="56"/>
      <c r="C60" s="58" t="s">
        <v>112</v>
      </c>
      <c r="D60" s="26"/>
      <c r="E60" s="36">
        <f>IF(B5=0,0,D60/B5)</f>
        <v>0</v>
      </c>
      <c r="F60" s="17">
        <f>IF(B3=0,0,D60/B3)</f>
        <v>0</v>
      </c>
      <c r="G60" s="32"/>
      <c r="H60" s="33" t="s">
        <v>113</v>
      </c>
      <c r="I60" s="4"/>
    </row>
    <row r="61" ht="20" customHeight="1" spans="1:9" s="2" customFormat="1" x14ac:dyDescent="0.25">
      <c r="A61" s="27"/>
      <c r="B61" s="56"/>
      <c r="C61" s="58" t="s">
        <v>114</v>
      </c>
      <c r="D61" s="26"/>
      <c r="E61" s="36">
        <f>IF(B5=0,0,D61/B5)</f>
        <v>0</v>
      </c>
      <c r="F61" s="17">
        <f>IF(B3=0,0,D61/B3)</f>
        <v>0</v>
      </c>
      <c r="G61" s="32"/>
      <c r="H61" s="33" t="s">
        <v>115</v>
      </c>
      <c r="I61" s="4"/>
    </row>
    <row r="62" ht="20" customHeight="1" spans="1:9" s="2" customFormat="1" x14ac:dyDescent="0.25">
      <c r="A62" s="27"/>
      <c r="B62" s="56"/>
      <c r="C62" s="58" t="s">
        <v>116</v>
      </c>
      <c r="D62" s="26"/>
      <c r="E62" s="36">
        <f>IF(B5=0,0,D62/B5)</f>
        <v>0</v>
      </c>
      <c r="F62" s="17">
        <f>IF(B3=0,0,D62/B3)</f>
        <v>0</v>
      </c>
      <c r="G62" s="32"/>
      <c r="H62" s="38" t="s">
        <v>117</v>
      </c>
      <c r="I62" s="4"/>
    </row>
    <row r="63" ht="23" customHeight="1" spans="1:9" s="2" customFormat="1" x14ac:dyDescent="0.25">
      <c r="A63" s="27"/>
      <c r="B63" s="56"/>
      <c r="C63" s="65" t="s">
        <v>118</v>
      </c>
      <c r="D63" s="66"/>
      <c r="E63" s="36">
        <f>IF(B5=0,0,D63/B5)</f>
        <v>0</v>
      </c>
      <c r="F63" s="17">
        <f>IF(B3=0,0,D63/B3)</f>
        <v>0</v>
      </c>
      <c r="G63" s="32"/>
      <c r="H63" s="67" t="s">
        <v>119</v>
      </c>
      <c r="I63" s="5"/>
    </row>
    <row r="64" ht="25" customHeight="1" spans="1:9" s="2" customFormat="1" x14ac:dyDescent="0.25">
      <c r="A64" s="27"/>
      <c r="B64" s="56"/>
      <c r="C64" s="34" t="s">
        <v>120</v>
      </c>
      <c r="D64" s="4">
        <v>208.4</v>
      </c>
      <c r="E64" s="36">
        <f>IF(B5=0,0,D64/B5)</f>
        <v>0</v>
      </c>
      <c r="F64" s="17">
        <f>IF(B3=0,0,D64/B3)</f>
        <v>0</v>
      </c>
      <c r="G64" s="32"/>
      <c r="H64" s="33" t="s">
        <v>121</v>
      </c>
      <c r="I64" s="4"/>
    </row>
    <row r="65" ht="25" customHeight="1" spans="1:9" s="2" customFormat="1" x14ac:dyDescent="0.25">
      <c r="A65" s="27"/>
      <c r="B65" s="56"/>
      <c r="C65" s="4" t="s">
        <v>122</v>
      </c>
      <c r="D65" s="4">
        <v>198</v>
      </c>
      <c r="E65" s="36">
        <f>IF(B5=0,0,D65/B5)</f>
        <v>0</v>
      </c>
      <c r="F65" s="17">
        <f>IF(B3=0,0,D65/B3)</f>
        <v>0</v>
      </c>
      <c r="G65" s="32"/>
      <c r="H65" s="33" t="s">
        <v>123</v>
      </c>
      <c r="I65" s="4"/>
    </row>
    <row r="66" ht="20" customHeight="1" spans="1:9" s="2" customFormat="1" x14ac:dyDescent="0.25">
      <c r="A66" s="42" t="s">
        <v>124</v>
      </c>
      <c r="B66" s="68">
        <f>IF(D3=0,0,D66/D3)</f>
        <v>0</v>
      </c>
      <c r="C66" s="42"/>
      <c r="D66" s="69">
        <f>SUM(D8:D65)</f>
        <v>12823.34</v>
      </c>
      <c r="E66" s="42"/>
      <c r="F66" s="69">
        <f>IF(B3=0,0,D66/B3)</f>
        <v>0</v>
      </c>
      <c r="G66" s="69">
        <f>IF(B3=0,0,D66/B3)</f>
        <v>0</v>
      </c>
      <c r="H66" s="70"/>
      <c r="I66" s="42"/>
    </row>
    <row r="67" ht="31.9" customHeight="1" spans="1:8" s="2" customFormat="1" x14ac:dyDescent="0.25">
      <c r="A67" s="71" t="s">
        <v>125</v>
      </c>
      <c r="B67" s="71"/>
      <c r="C67" s="71"/>
      <c r="D67" s="71"/>
      <c r="E67" s="71" t="s">
        <v>126</v>
      </c>
      <c r="F67" s="71"/>
      <c r="G67" s="71"/>
      <c r="H67" s="71"/>
    </row>
    <row r="68" ht="31.9" customHeight="1" spans="1:8" s="2" customFormat="1" x14ac:dyDescent="0.25">
      <c r="A68" s="72" t="s">
        <v>6</v>
      </c>
      <c r="B68" s="72"/>
      <c r="C68" s="72"/>
      <c r="D68" s="72">
        <f>D3</f>
        <v>0</v>
      </c>
      <c r="E68" s="1" t="s">
        <v>127</v>
      </c>
      <c r="F68" s="1"/>
      <c r="G68" s="1"/>
      <c r="H68" s="1"/>
    </row>
    <row r="69" ht="31.9" customHeight="1" spans="1:8" s="2" customFormat="1" x14ac:dyDescent="0.25">
      <c r="A69" s="72" t="s">
        <v>128</v>
      </c>
      <c r="B69" s="72"/>
      <c r="C69" s="72"/>
      <c r="D69" s="72">
        <f>D66</f>
        <v>12823.34</v>
      </c>
      <c r="E69" s="73" t="s">
        <v>129</v>
      </c>
      <c r="F69" s="73"/>
      <c r="G69" s="73"/>
      <c r="H69" s="73"/>
    </row>
    <row r="70" ht="31.9" customHeight="1" spans="1:8" s="2" customFormat="1" x14ac:dyDescent="0.25">
      <c r="A70" s="72" t="s">
        <v>130</v>
      </c>
      <c r="B70" s="72"/>
      <c r="C70" s="72"/>
      <c r="D70" s="72">
        <f>D22+D23</f>
        <v>0</v>
      </c>
      <c r="E70" s="1" t="s">
        <v>131</v>
      </c>
      <c r="F70" s="1"/>
      <c r="G70" s="1"/>
      <c r="H70" s="1"/>
    </row>
    <row r="71" ht="31.9" customHeight="1" spans="1:8" s="2" customFormat="1" x14ac:dyDescent="0.25">
      <c r="A71" s="72" t="s">
        <v>132</v>
      </c>
      <c r="B71" s="72"/>
      <c r="C71" s="72"/>
      <c r="D71" s="72">
        <f>D68-D69</f>
        <v>-12823.34</v>
      </c>
      <c r="E71" s="72"/>
      <c r="F71" s="72"/>
      <c r="G71" s="72"/>
      <c r="H71" s="72"/>
    </row>
    <row r="72" ht="31.9" customHeight="1" spans="1:8" s="2" customFormat="1" x14ac:dyDescent="0.25">
      <c r="A72" s="72" t="s">
        <v>133</v>
      </c>
      <c r="B72" s="72"/>
      <c r="C72" s="72"/>
      <c r="D72" s="74">
        <f>IF(D68=0,0,D71/D68)</f>
        <v>0</v>
      </c>
      <c r="E72" s="73"/>
      <c r="F72" s="73"/>
      <c r="G72" s="73"/>
      <c r="H72" s="73"/>
    </row>
    <row r="73" spans="1:8" s="2" customFormat="1" x14ac:dyDescent="0.25">
      <c r="A73" s="1"/>
      <c r="B73" s="1"/>
      <c r="C73" s="1"/>
      <c r="D73" s="75"/>
      <c r="E73" s="1"/>
      <c r="F73" s="1"/>
      <c r="G73" s="1"/>
      <c r="H73" s="1"/>
    </row>
    <row r="74" ht="17" customHeight="1" x14ac:dyDescent="0.25"/>
    <row r="75" ht="17" customHeight="1" spans="1:3" x14ac:dyDescent="0.25">
      <c r="A75" s="76"/>
      <c r="B75" s="76"/>
      <c r="C75" s="76"/>
    </row>
    <row r="76" ht="17" customHeight="1" x14ac:dyDescent="0.25"/>
  </sheetData>
  <mergeCells count="44">
    <mergeCell ref="A1:I1"/>
    <mergeCell ref="A2:I2"/>
    <mergeCell ref="H3:I3"/>
    <mergeCell ref="C4:F4"/>
    <mergeCell ref="G4:H4"/>
    <mergeCell ref="H5:I5"/>
    <mergeCell ref="A6:I6"/>
    <mergeCell ref="A8:A15"/>
    <mergeCell ref="B8:B15"/>
    <mergeCell ref="G8:G21"/>
    <mergeCell ref="A16:A20"/>
    <mergeCell ref="B16:B20"/>
    <mergeCell ref="A22:A23"/>
    <mergeCell ref="B22:B23"/>
    <mergeCell ref="G22:G23"/>
    <mergeCell ref="A24:A25"/>
    <mergeCell ref="B24:B25"/>
    <mergeCell ref="G24:G25"/>
    <mergeCell ref="A26:A27"/>
    <mergeCell ref="B26:B27"/>
    <mergeCell ref="G26:G27"/>
    <mergeCell ref="A29:A31"/>
    <mergeCell ref="B29:B31"/>
    <mergeCell ref="G29:G31"/>
    <mergeCell ref="A32:A44"/>
    <mergeCell ref="B32:B44"/>
    <mergeCell ref="G32:G44"/>
    <mergeCell ref="A45:A49"/>
    <mergeCell ref="B45:B49"/>
    <mergeCell ref="G45:G49"/>
    <mergeCell ref="A51:A65"/>
    <mergeCell ref="B51:B65"/>
    <mergeCell ref="G51:G65"/>
    <mergeCell ref="A68:B68"/>
    <mergeCell ref="E68:H68"/>
    <mergeCell ref="A69:B69"/>
    <mergeCell ref="E69:H69"/>
    <mergeCell ref="A70:B70"/>
    <mergeCell ref="E70:H70"/>
    <mergeCell ref="A71:B71"/>
    <mergeCell ref="E71:H71"/>
    <mergeCell ref="A72:B72"/>
    <mergeCell ref="E72:H72"/>
    <mergeCell ref="A75:C75"/>
  </mergeCells>
  <pageMargins left="0.75" right="0.75" top="1" bottom="1" header="0.5" footer="0.5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娟</cp:lastModifiedBy>
  <dcterms:created xsi:type="dcterms:W3CDTF">2025-09-05T16:18:00Z</dcterms:created>
  <dcterms:modified xsi:type="dcterms:W3CDTF">2026-03-08T15:09:02Z</dcterms:modified>
</cp:coreProperties>
</file>